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ota\Documents\"/>
    </mc:Choice>
  </mc:AlternateContent>
  <xr:revisionPtr revIDLastSave="0" documentId="8_{11019C9A-CB04-40F6-BC1E-84AAA72FB2FB}" xr6:coauthVersionLast="47" xr6:coauthVersionMax="47" xr10:uidLastSave="{00000000-0000-0000-0000-000000000000}"/>
  <bookViews>
    <workbookView xWindow="-108" yWindow="-108" windowWidth="23256" windowHeight="12456" xr2:uid="{C662198D-3719-491B-8E19-2013ABAC7647}"/>
  </bookViews>
  <sheets>
    <sheet name="Simulador Emprestimo 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32" i="1" l="1"/>
  <c r="I132" i="1"/>
  <c r="H132" i="1"/>
  <c r="G132" i="1"/>
  <c r="L132" i="1" s="1"/>
  <c r="F132" i="1"/>
  <c r="E132" i="1"/>
  <c r="D132" i="1"/>
  <c r="C132" i="1"/>
  <c r="L131" i="1"/>
  <c r="K131" i="1"/>
  <c r="I131" i="1"/>
  <c r="H131" i="1"/>
  <c r="G131" i="1"/>
  <c r="F131" i="1"/>
  <c r="E131" i="1"/>
  <c r="D131" i="1"/>
  <c r="C131" i="1"/>
  <c r="L130" i="1"/>
  <c r="K130" i="1"/>
  <c r="I130" i="1"/>
  <c r="H130" i="1"/>
  <c r="G130" i="1"/>
  <c r="F130" i="1"/>
  <c r="E130" i="1"/>
  <c r="D130" i="1"/>
  <c r="C130" i="1"/>
  <c r="L129" i="1"/>
  <c r="K129" i="1"/>
  <c r="I129" i="1"/>
  <c r="H129" i="1"/>
  <c r="G129" i="1"/>
  <c r="F129" i="1"/>
  <c r="E129" i="1"/>
  <c r="D129" i="1"/>
  <c r="C129" i="1"/>
  <c r="L128" i="1"/>
  <c r="I128" i="1"/>
  <c r="K128" i="1" s="1"/>
  <c r="H128" i="1"/>
  <c r="G128" i="1"/>
  <c r="F128" i="1"/>
  <c r="E128" i="1"/>
  <c r="D128" i="1"/>
  <c r="C128" i="1"/>
  <c r="K127" i="1"/>
  <c r="I127" i="1"/>
  <c r="H127" i="1"/>
  <c r="G127" i="1"/>
  <c r="L127" i="1" s="1"/>
  <c r="F127" i="1"/>
  <c r="E127" i="1"/>
  <c r="D127" i="1"/>
  <c r="C127" i="1"/>
  <c r="K126" i="1"/>
  <c r="I126" i="1"/>
  <c r="H126" i="1"/>
  <c r="G126" i="1"/>
  <c r="L126" i="1" s="1"/>
  <c r="F126" i="1"/>
  <c r="E126" i="1"/>
  <c r="D126" i="1"/>
  <c r="C126" i="1"/>
  <c r="L125" i="1"/>
  <c r="I125" i="1"/>
  <c r="K125" i="1" s="1"/>
  <c r="H125" i="1"/>
  <c r="G125" i="1"/>
  <c r="F125" i="1"/>
  <c r="E125" i="1"/>
  <c r="D125" i="1"/>
  <c r="C125" i="1"/>
  <c r="K124" i="1"/>
  <c r="I124" i="1"/>
  <c r="H124" i="1"/>
  <c r="G124" i="1"/>
  <c r="L124" i="1" s="1"/>
  <c r="F124" i="1"/>
  <c r="E124" i="1"/>
  <c r="D124" i="1"/>
  <c r="C124" i="1"/>
  <c r="L123" i="1"/>
  <c r="I123" i="1"/>
  <c r="K123" i="1" s="1"/>
  <c r="H123" i="1"/>
  <c r="G123" i="1"/>
  <c r="F123" i="1"/>
  <c r="E123" i="1"/>
  <c r="D123" i="1"/>
  <c r="C123" i="1"/>
  <c r="L122" i="1"/>
  <c r="K122" i="1"/>
  <c r="I122" i="1"/>
  <c r="H122" i="1"/>
  <c r="G122" i="1"/>
  <c r="F122" i="1"/>
  <c r="E122" i="1"/>
  <c r="D122" i="1"/>
  <c r="C122" i="1"/>
  <c r="K121" i="1"/>
  <c r="I121" i="1"/>
  <c r="H121" i="1"/>
  <c r="G121" i="1"/>
  <c r="L121" i="1" s="1"/>
  <c r="F121" i="1"/>
  <c r="E121" i="1"/>
  <c r="D121" i="1"/>
  <c r="C121" i="1"/>
  <c r="L120" i="1"/>
  <c r="I120" i="1"/>
  <c r="K120" i="1" s="1"/>
  <c r="H120" i="1"/>
  <c r="G120" i="1"/>
  <c r="F120" i="1"/>
  <c r="E120" i="1"/>
  <c r="D120" i="1"/>
  <c r="C120" i="1"/>
  <c r="I119" i="1"/>
  <c r="K119" i="1" s="1"/>
  <c r="H119" i="1"/>
  <c r="G119" i="1"/>
  <c r="L119" i="1" s="1"/>
  <c r="F119" i="1"/>
  <c r="E119" i="1"/>
  <c r="D119" i="1"/>
  <c r="C119" i="1"/>
  <c r="K118" i="1"/>
  <c r="I118" i="1"/>
  <c r="H118" i="1"/>
  <c r="G118" i="1"/>
  <c r="L118" i="1" s="1"/>
  <c r="F118" i="1"/>
  <c r="E118" i="1"/>
  <c r="D118" i="1"/>
  <c r="C118" i="1"/>
  <c r="L117" i="1"/>
  <c r="I117" i="1"/>
  <c r="K117" i="1" s="1"/>
  <c r="H117" i="1"/>
  <c r="G117" i="1"/>
  <c r="F117" i="1"/>
  <c r="E117" i="1"/>
  <c r="D117" i="1"/>
  <c r="C117" i="1"/>
  <c r="K116" i="1"/>
  <c r="I116" i="1"/>
  <c r="H116" i="1"/>
  <c r="G116" i="1"/>
  <c r="L116" i="1" s="1"/>
  <c r="F116" i="1"/>
  <c r="E116" i="1"/>
  <c r="D116" i="1"/>
  <c r="C116" i="1"/>
  <c r="L115" i="1"/>
  <c r="I115" i="1"/>
  <c r="K115" i="1" s="1"/>
  <c r="H115" i="1"/>
  <c r="G115" i="1"/>
  <c r="F115" i="1"/>
  <c r="E115" i="1"/>
  <c r="D115" i="1"/>
  <c r="C115" i="1"/>
  <c r="L114" i="1"/>
  <c r="K114" i="1"/>
  <c r="I114" i="1"/>
  <c r="H114" i="1"/>
  <c r="G114" i="1"/>
  <c r="F114" i="1"/>
  <c r="E114" i="1"/>
  <c r="D114" i="1"/>
  <c r="C114" i="1"/>
  <c r="K113" i="1"/>
  <c r="I113" i="1"/>
  <c r="H113" i="1"/>
  <c r="G113" i="1"/>
  <c r="L113" i="1" s="1"/>
  <c r="F113" i="1"/>
  <c r="E113" i="1"/>
  <c r="D113" i="1"/>
  <c r="C113" i="1"/>
  <c r="L112" i="1"/>
  <c r="I112" i="1"/>
  <c r="K112" i="1" s="1"/>
  <c r="H112" i="1"/>
  <c r="G112" i="1"/>
  <c r="F112" i="1"/>
  <c r="E112" i="1"/>
  <c r="D112" i="1"/>
  <c r="C112" i="1"/>
  <c r="I111" i="1"/>
  <c r="K111" i="1" s="1"/>
  <c r="H111" i="1"/>
  <c r="G111" i="1"/>
  <c r="L111" i="1" s="1"/>
  <c r="F111" i="1"/>
  <c r="E111" i="1"/>
  <c r="D111" i="1"/>
  <c r="C111" i="1"/>
  <c r="K110" i="1"/>
  <c r="I110" i="1"/>
  <c r="H110" i="1"/>
  <c r="G110" i="1"/>
  <c r="L110" i="1" s="1"/>
  <c r="F110" i="1"/>
  <c r="E110" i="1"/>
  <c r="D110" i="1"/>
  <c r="C110" i="1"/>
  <c r="L109" i="1"/>
  <c r="I109" i="1"/>
  <c r="K109" i="1" s="1"/>
  <c r="H109" i="1"/>
  <c r="G109" i="1"/>
  <c r="F109" i="1"/>
  <c r="E109" i="1"/>
  <c r="D109" i="1"/>
  <c r="C109" i="1"/>
  <c r="K108" i="1"/>
  <c r="I108" i="1"/>
  <c r="H108" i="1"/>
  <c r="G108" i="1"/>
  <c r="L108" i="1" s="1"/>
  <c r="F108" i="1"/>
  <c r="E108" i="1"/>
  <c r="D108" i="1"/>
  <c r="C108" i="1"/>
  <c r="L107" i="1"/>
  <c r="I107" i="1"/>
  <c r="K107" i="1" s="1"/>
  <c r="H107" i="1"/>
  <c r="G107" i="1"/>
  <c r="F107" i="1"/>
  <c r="E107" i="1"/>
  <c r="D107" i="1"/>
  <c r="C107" i="1"/>
  <c r="L106" i="1"/>
  <c r="K106" i="1"/>
  <c r="I106" i="1"/>
  <c r="H106" i="1"/>
  <c r="G106" i="1"/>
  <c r="F106" i="1"/>
  <c r="E106" i="1"/>
  <c r="D106" i="1"/>
  <c r="C106" i="1"/>
  <c r="K105" i="1"/>
  <c r="I105" i="1"/>
  <c r="H105" i="1"/>
  <c r="G105" i="1"/>
  <c r="L105" i="1" s="1"/>
  <c r="F105" i="1"/>
  <c r="E105" i="1"/>
  <c r="D105" i="1"/>
  <c r="C105" i="1"/>
  <c r="L104" i="1"/>
  <c r="I104" i="1"/>
  <c r="K104" i="1" s="1"/>
  <c r="H104" i="1"/>
  <c r="G104" i="1"/>
  <c r="F104" i="1"/>
  <c r="E104" i="1"/>
  <c r="D104" i="1"/>
  <c r="C104" i="1"/>
  <c r="I103" i="1"/>
  <c r="K103" i="1" s="1"/>
  <c r="H103" i="1"/>
  <c r="G103" i="1"/>
  <c r="L103" i="1" s="1"/>
  <c r="F103" i="1"/>
  <c r="E103" i="1"/>
  <c r="D103" i="1"/>
  <c r="C103" i="1"/>
  <c r="K102" i="1"/>
  <c r="I102" i="1"/>
  <c r="H102" i="1"/>
  <c r="G102" i="1"/>
  <c r="L102" i="1" s="1"/>
  <c r="F102" i="1"/>
  <c r="E102" i="1"/>
  <c r="D102" i="1"/>
  <c r="C102" i="1"/>
  <c r="L101" i="1"/>
  <c r="I101" i="1"/>
  <c r="K101" i="1" s="1"/>
  <c r="H101" i="1"/>
  <c r="G101" i="1"/>
  <c r="F101" i="1"/>
  <c r="E101" i="1"/>
  <c r="D101" i="1"/>
  <c r="C101" i="1"/>
  <c r="K100" i="1"/>
  <c r="I100" i="1"/>
  <c r="H100" i="1"/>
  <c r="G100" i="1"/>
  <c r="L100" i="1" s="1"/>
  <c r="F100" i="1"/>
  <c r="E100" i="1"/>
  <c r="D100" i="1"/>
  <c r="C100" i="1"/>
  <c r="L99" i="1"/>
  <c r="I99" i="1"/>
  <c r="K99" i="1" s="1"/>
  <c r="H99" i="1"/>
  <c r="G99" i="1"/>
  <c r="F99" i="1"/>
  <c r="E99" i="1"/>
  <c r="D99" i="1"/>
  <c r="C99" i="1"/>
  <c r="L98" i="1"/>
  <c r="K98" i="1"/>
  <c r="I98" i="1"/>
  <c r="H98" i="1"/>
  <c r="G98" i="1"/>
  <c r="F98" i="1"/>
  <c r="E98" i="1"/>
  <c r="D98" i="1"/>
  <c r="C98" i="1"/>
  <c r="K97" i="1"/>
  <c r="I97" i="1"/>
  <c r="H97" i="1"/>
  <c r="G97" i="1"/>
  <c r="L97" i="1" s="1"/>
  <c r="F97" i="1"/>
  <c r="E97" i="1"/>
  <c r="D97" i="1"/>
  <c r="C97" i="1"/>
  <c r="L96" i="1"/>
  <c r="I96" i="1"/>
  <c r="K96" i="1" s="1"/>
  <c r="H96" i="1"/>
  <c r="G96" i="1"/>
  <c r="F96" i="1"/>
  <c r="E96" i="1"/>
  <c r="D96" i="1"/>
  <c r="C96" i="1"/>
  <c r="I95" i="1"/>
  <c r="K95" i="1" s="1"/>
  <c r="H95" i="1"/>
  <c r="G95" i="1"/>
  <c r="L95" i="1" s="1"/>
  <c r="F95" i="1"/>
  <c r="E95" i="1"/>
  <c r="D95" i="1"/>
  <c r="C95" i="1"/>
  <c r="K94" i="1"/>
  <c r="I94" i="1"/>
  <c r="H94" i="1"/>
  <c r="G94" i="1"/>
  <c r="L94" i="1" s="1"/>
  <c r="F94" i="1"/>
  <c r="E94" i="1"/>
  <c r="D94" i="1"/>
  <c r="C94" i="1"/>
  <c r="L93" i="1"/>
  <c r="I93" i="1"/>
  <c r="K93" i="1" s="1"/>
  <c r="H93" i="1"/>
  <c r="G93" i="1"/>
  <c r="F93" i="1"/>
  <c r="E93" i="1"/>
  <c r="D93" i="1"/>
  <c r="C93" i="1"/>
  <c r="K92" i="1"/>
  <c r="I92" i="1"/>
  <c r="H92" i="1"/>
  <c r="G92" i="1"/>
  <c r="L92" i="1" s="1"/>
  <c r="F92" i="1"/>
  <c r="E92" i="1"/>
  <c r="D92" i="1"/>
  <c r="C92" i="1"/>
  <c r="L91" i="1"/>
  <c r="I91" i="1"/>
  <c r="K91" i="1" s="1"/>
  <c r="H91" i="1"/>
  <c r="G91" i="1"/>
  <c r="F91" i="1"/>
  <c r="E91" i="1"/>
  <c r="D91" i="1"/>
  <c r="C91" i="1"/>
  <c r="L90" i="1"/>
  <c r="K90" i="1"/>
  <c r="I90" i="1"/>
  <c r="H90" i="1"/>
  <c r="G90" i="1"/>
  <c r="F90" i="1"/>
  <c r="E90" i="1"/>
  <c r="D90" i="1"/>
  <c r="C90" i="1"/>
  <c r="K89" i="1"/>
  <c r="I89" i="1"/>
  <c r="H89" i="1"/>
  <c r="G89" i="1"/>
  <c r="L89" i="1" s="1"/>
  <c r="F89" i="1"/>
  <c r="E89" i="1"/>
  <c r="D89" i="1"/>
  <c r="C89" i="1"/>
  <c r="L88" i="1"/>
  <c r="I88" i="1"/>
  <c r="K88" i="1" s="1"/>
  <c r="H88" i="1"/>
  <c r="G88" i="1"/>
  <c r="F88" i="1"/>
  <c r="E88" i="1"/>
  <c r="D88" i="1"/>
  <c r="C88" i="1"/>
  <c r="I87" i="1"/>
  <c r="K87" i="1" s="1"/>
  <c r="H87" i="1"/>
  <c r="G87" i="1"/>
  <c r="L87" i="1" s="1"/>
  <c r="F87" i="1"/>
  <c r="E87" i="1"/>
  <c r="D87" i="1"/>
  <c r="C87" i="1"/>
  <c r="K86" i="1"/>
  <c r="I86" i="1"/>
  <c r="H86" i="1"/>
  <c r="G86" i="1"/>
  <c r="L86" i="1" s="1"/>
  <c r="F86" i="1"/>
  <c r="E86" i="1"/>
  <c r="D86" i="1"/>
  <c r="C86" i="1"/>
  <c r="L85" i="1"/>
  <c r="I85" i="1"/>
  <c r="K85" i="1" s="1"/>
  <c r="H85" i="1"/>
  <c r="G85" i="1"/>
  <c r="F85" i="1"/>
  <c r="E85" i="1"/>
  <c r="D85" i="1"/>
  <c r="C85" i="1"/>
  <c r="K84" i="1"/>
  <c r="I84" i="1"/>
  <c r="H84" i="1"/>
  <c r="G84" i="1"/>
  <c r="L84" i="1" s="1"/>
  <c r="F84" i="1"/>
  <c r="E84" i="1"/>
  <c r="D84" i="1"/>
  <c r="C84" i="1"/>
  <c r="L83" i="1"/>
  <c r="I83" i="1"/>
  <c r="K83" i="1" s="1"/>
  <c r="H83" i="1"/>
  <c r="G83" i="1"/>
  <c r="F83" i="1"/>
  <c r="E83" i="1"/>
  <c r="D83" i="1"/>
  <c r="C83" i="1"/>
  <c r="L82" i="1"/>
  <c r="K82" i="1"/>
  <c r="I82" i="1"/>
  <c r="H82" i="1"/>
  <c r="G82" i="1"/>
  <c r="F82" i="1"/>
  <c r="E82" i="1"/>
  <c r="D82" i="1"/>
  <c r="C82" i="1"/>
  <c r="K81" i="1"/>
  <c r="I81" i="1"/>
  <c r="H81" i="1"/>
  <c r="G81" i="1"/>
  <c r="L81" i="1" s="1"/>
  <c r="F81" i="1"/>
  <c r="E81" i="1"/>
  <c r="D81" i="1"/>
  <c r="C81" i="1"/>
  <c r="L80" i="1"/>
  <c r="I80" i="1"/>
  <c r="K80" i="1" s="1"/>
  <c r="H80" i="1"/>
  <c r="G80" i="1"/>
  <c r="F80" i="1"/>
  <c r="E80" i="1"/>
  <c r="D80" i="1"/>
  <c r="C80" i="1"/>
  <c r="I79" i="1"/>
  <c r="K79" i="1" s="1"/>
  <c r="H79" i="1"/>
  <c r="G79" i="1"/>
  <c r="L79" i="1" s="1"/>
  <c r="F79" i="1"/>
  <c r="E79" i="1"/>
  <c r="D79" i="1"/>
  <c r="C79" i="1"/>
  <c r="K78" i="1"/>
  <c r="I78" i="1"/>
  <c r="H78" i="1"/>
  <c r="G78" i="1"/>
  <c r="L78" i="1" s="1"/>
  <c r="F78" i="1"/>
  <c r="E78" i="1"/>
  <c r="D78" i="1"/>
  <c r="C78" i="1"/>
  <c r="L77" i="1"/>
  <c r="I77" i="1"/>
  <c r="K77" i="1" s="1"/>
  <c r="H77" i="1"/>
  <c r="G77" i="1"/>
  <c r="F77" i="1"/>
  <c r="E77" i="1"/>
  <c r="D77" i="1"/>
  <c r="C77" i="1"/>
  <c r="K76" i="1"/>
  <c r="I76" i="1"/>
  <c r="H76" i="1"/>
  <c r="G76" i="1"/>
  <c r="L76" i="1" s="1"/>
  <c r="F76" i="1"/>
  <c r="E76" i="1"/>
  <c r="D76" i="1"/>
  <c r="C76" i="1"/>
  <c r="L75" i="1"/>
  <c r="I75" i="1"/>
  <c r="K75" i="1" s="1"/>
  <c r="H75" i="1"/>
  <c r="G75" i="1"/>
  <c r="F75" i="1"/>
  <c r="E75" i="1"/>
  <c r="D75" i="1"/>
  <c r="C75" i="1"/>
  <c r="L74" i="1"/>
  <c r="K74" i="1"/>
  <c r="I74" i="1"/>
  <c r="H74" i="1"/>
  <c r="G74" i="1"/>
  <c r="F74" i="1"/>
  <c r="E74" i="1"/>
  <c r="D74" i="1"/>
  <c r="C74" i="1"/>
  <c r="K73" i="1"/>
  <c r="I73" i="1"/>
  <c r="H73" i="1"/>
  <c r="G73" i="1"/>
  <c r="L73" i="1" s="1"/>
  <c r="F73" i="1"/>
  <c r="E73" i="1"/>
  <c r="D73" i="1"/>
  <c r="C73" i="1"/>
  <c r="L72" i="1"/>
  <c r="I72" i="1"/>
  <c r="K72" i="1" s="1"/>
  <c r="H72" i="1"/>
  <c r="G72" i="1"/>
  <c r="F72" i="1"/>
  <c r="E72" i="1"/>
  <c r="D72" i="1"/>
  <c r="C72" i="1"/>
  <c r="I71" i="1"/>
  <c r="K71" i="1" s="1"/>
  <c r="H71" i="1"/>
  <c r="G71" i="1"/>
  <c r="L71" i="1" s="1"/>
  <c r="F71" i="1"/>
  <c r="E71" i="1"/>
  <c r="D71" i="1"/>
  <c r="C71" i="1"/>
  <c r="K70" i="1"/>
  <c r="I70" i="1"/>
  <c r="H70" i="1"/>
  <c r="G70" i="1"/>
  <c r="L70" i="1" s="1"/>
  <c r="F70" i="1"/>
  <c r="E70" i="1"/>
  <c r="D70" i="1"/>
  <c r="C70" i="1"/>
  <c r="L69" i="1"/>
  <c r="I69" i="1"/>
  <c r="K69" i="1" s="1"/>
  <c r="H69" i="1"/>
  <c r="G69" i="1"/>
  <c r="F69" i="1"/>
  <c r="E69" i="1"/>
  <c r="D69" i="1"/>
  <c r="C69" i="1"/>
  <c r="K68" i="1"/>
  <c r="I68" i="1"/>
  <c r="H68" i="1"/>
  <c r="G68" i="1"/>
  <c r="L68" i="1" s="1"/>
  <c r="F68" i="1"/>
  <c r="E68" i="1"/>
  <c r="D68" i="1"/>
  <c r="C68" i="1"/>
  <c r="L67" i="1"/>
  <c r="I67" i="1"/>
  <c r="K67" i="1" s="1"/>
  <c r="H67" i="1"/>
  <c r="G67" i="1"/>
  <c r="F67" i="1"/>
  <c r="E67" i="1"/>
  <c r="D67" i="1"/>
  <c r="C67" i="1"/>
  <c r="L66" i="1"/>
  <c r="K66" i="1"/>
  <c r="I66" i="1"/>
  <c r="H66" i="1"/>
  <c r="G66" i="1"/>
  <c r="F66" i="1"/>
  <c r="E66" i="1"/>
  <c r="D66" i="1"/>
  <c r="C66" i="1"/>
  <c r="K65" i="1"/>
  <c r="I65" i="1"/>
  <c r="H65" i="1"/>
  <c r="G65" i="1"/>
  <c r="L65" i="1" s="1"/>
  <c r="F65" i="1"/>
  <c r="E65" i="1"/>
  <c r="D65" i="1"/>
  <c r="C65" i="1"/>
  <c r="L64" i="1"/>
  <c r="I64" i="1"/>
  <c r="K64" i="1" s="1"/>
  <c r="H64" i="1"/>
  <c r="G64" i="1"/>
  <c r="F64" i="1"/>
  <c r="E64" i="1"/>
  <c r="D64" i="1"/>
  <c r="C64" i="1"/>
  <c r="I63" i="1"/>
  <c r="K63" i="1" s="1"/>
  <c r="H63" i="1"/>
  <c r="G63" i="1"/>
  <c r="L63" i="1" s="1"/>
  <c r="F63" i="1"/>
  <c r="E63" i="1"/>
  <c r="D63" i="1"/>
  <c r="C63" i="1"/>
  <c r="K62" i="1"/>
  <c r="I62" i="1"/>
  <c r="H62" i="1"/>
  <c r="G62" i="1"/>
  <c r="L62" i="1" s="1"/>
  <c r="F62" i="1"/>
  <c r="E62" i="1"/>
  <c r="D62" i="1"/>
  <c r="C62" i="1"/>
  <c r="L61" i="1"/>
  <c r="I61" i="1"/>
  <c r="K61" i="1" s="1"/>
  <c r="H61" i="1"/>
  <c r="G61" i="1"/>
  <c r="F61" i="1"/>
  <c r="E61" i="1"/>
  <c r="D61" i="1"/>
  <c r="C61" i="1"/>
  <c r="K60" i="1"/>
  <c r="I60" i="1"/>
  <c r="H60" i="1"/>
  <c r="G60" i="1"/>
  <c r="L60" i="1" s="1"/>
  <c r="F60" i="1"/>
  <c r="E60" i="1"/>
  <c r="D60" i="1"/>
  <c r="C60" i="1"/>
  <c r="L59" i="1"/>
  <c r="I59" i="1"/>
  <c r="K59" i="1" s="1"/>
  <c r="H59" i="1"/>
  <c r="G59" i="1"/>
  <c r="F59" i="1"/>
  <c r="E59" i="1"/>
  <c r="D59" i="1"/>
  <c r="C59" i="1"/>
  <c r="L58" i="1"/>
  <c r="K58" i="1"/>
  <c r="I58" i="1"/>
  <c r="H58" i="1"/>
  <c r="G58" i="1"/>
  <c r="F58" i="1"/>
  <c r="E58" i="1"/>
  <c r="D58" i="1"/>
  <c r="C58" i="1"/>
  <c r="K57" i="1"/>
  <c r="I57" i="1"/>
  <c r="H57" i="1"/>
  <c r="G57" i="1"/>
  <c r="L57" i="1" s="1"/>
  <c r="F57" i="1"/>
  <c r="E57" i="1"/>
  <c r="D57" i="1"/>
  <c r="C57" i="1"/>
  <c r="L56" i="1"/>
  <c r="I56" i="1"/>
  <c r="K56" i="1" s="1"/>
  <c r="H56" i="1"/>
  <c r="G56" i="1"/>
  <c r="F56" i="1"/>
  <c r="E56" i="1"/>
  <c r="D56" i="1"/>
  <c r="C56" i="1"/>
  <c r="I55" i="1"/>
  <c r="K55" i="1" s="1"/>
  <c r="H55" i="1"/>
  <c r="G55" i="1"/>
  <c r="L55" i="1" s="1"/>
  <c r="F55" i="1"/>
  <c r="E55" i="1"/>
  <c r="D55" i="1"/>
  <c r="C55" i="1"/>
  <c r="K54" i="1"/>
  <c r="I54" i="1"/>
  <c r="H54" i="1"/>
  <c r="G54" i="1"/>
  <c r="L54" i="1" s="1"/>
  <c r="F54" i="1"/>
  <c r="E54" i="1"/>
  <c r="D54" i="1"/>
  <c r="C54" i="1"/>
  <c r="L53" i="1"/>
  <c r="I53" i="1"/>
  <c r="K53" i="1" s="1"/>
  <c r="H53" i="1"/>
  <c r="G53" i="1"/>
  <c r="F53" i="1"/>
  <c r="E53" i="1"/>
  <c r="D53" i="1"/>
  <c r="C53" i="1"/>
  <c r="K52" i="1"/>
  <c r="I52" i="1"/>
  <c r="H52" i="1"/>
  <c r="G52" i="1"/>
  <c r="L52" i="1" s="1"/>
  <c r="F52" i="1"/>
  <c r="E52" i="1"/>
  <c r="D52" i="1"/>
  <c r="C52" i="1"/>
  <c r="L51" i="1"/>
  <c r="I51" i="1"/>
  <c r="K51" i="1" s="1"/>
  <c r="H51" i="1"/>
  <c r="G51" i="1"/>
  <c r="F51" i="1"/>
  <c r="E51" i="1"/>
  <c r="D51" i="1"/>
  <c r="C51" i="1"/>
  <c r="L50" i="1"/>
  <c r="K50" i="1"/>
  <c r="I50" i="1"/>
  <c r="H50" i="1"/>
  <c r="G50" i="1"/>
  <c r="F50" i="1"/>
  <c r="E50" i="1"/>
  <c r="D50" i="1"/>
  <c r="C50" i="1"/>
  <c r="K49" i="1"/>
  <c r="I49" i="1"/>
  <c r="H49" i="1"/>
  <c r="G49" i="1"/>
  <c r="L49" i="1" s="1"/>
  <c r="F49" i="1"/>
  <c r="E49" i="1"/>
  <c r="D49" i="1"/>
  <c r="C49" i="1"/>
  <c r="L48" i="1"/>
  <c r="I48" i="1"/>
  <c r="K48" i="1" s="1"/>
  <c r="H48" i="1"/>
  <c r="G48" i="1"/>
  <c r="F48" i="1"/>
  <c r="E48" i="1"/>
  <c r="D48" i="1"/>
  <c r="C48" i="1"/>
  <c r="I47" i="1"/>
  <c r="K47" i="1" s="1"/>
  <c r="H47" i="1"/>
  <c r="G47" i="1"/>
  <c r="L47" i="1" s="1"/>
  <c r="F47" i="1"/>
  <c r="E47" i="1"/>
  <c r="D47" i="1"/>
  <c r="C47" i="1"/>
  <c r="K46" i="1"/>
  <c r="I46" i="1"/>
  <c r="H46" i="1"/>
  <c r="G46" i="1"/>
  <c r="L46" i="1" s="1"/>
  <c r="F46" i="1"/>
  <c r="E46" i="1"/>
  <c r="D46" i="1"/>
  <c r="C46" i="1"/>
  <c r="L45" i="1"/>
  <c r="I45" i="1"/>
  <c r="K45" i="1" s="1"/>
  <c r="H45" i="1"/>
  <c r="G45" i="1"/>
  <c r="F45" i="1"/>
  <c r="E45" i="1"/>
  <c r="D45" i="1"/>
  <c r="C45" i="1"/>
  <c r="K44" i="1"/>
  <c r="I44" i="1"/>
  <c r="H44" i="1"/>
  <c r="G44" i="1"/>
  <c r="L44" i="1" s="1"/>
  <c r="F44" i="1"/>
  <c r="E44" i="1"/>
  <c r="D44" i="1"/>
  <c r="C44" i="1"/>
  <c r="L43" i="1"/>
  <c r="I43" i="1"/>
  <c r="K43" i="1" s="1"/>
  <c r="H43" i="1"/>
  <c r="G43" i="1"/>
  <c r="F43" i="1"/>
  <c r="E43" i="1"/>
  <c r="D43" i="1"/>
  <c r="C43" i="1"/>
  <c r="L42" i="1"/>
  <c r="K42" i="1"/>
  <c r="I42" i="1"/>
  <c r="H42" i="1"/>
  <c r="G42" i="1"/>
  <c r="F42" i="1"/>
  <c r="E42" i="1"/>
  <c r="D42" i="1"/>
  <c r="C42" i="1"/>
  <c r="K41" i="1"/>
  <c r="I41" i="1"/>
  <c r="H41" i="1"/>
  <c r="G41" i="1"/>
  <c r="L41" i="1" s="1"/>
  <c r="F41" i="1"/>
  <c r="E41" i="1"/>
  <c r="D41" i="1"/>
  <c r="C41" i="1"/>
  <c r="L40" i="1"/>
  <c r="I40" i="1"/>
  <c r="K40" i="1" s="1"/>
  <c r="H40" i="1"/>
  <c r="G40" i="1"/>
  <c r="F40" i="1"/>
  <c r="E40" i="1"/>
  <c r="D40" i="1"/>
  <c r="C40" i="1"/>
  <c r="I39" i="1"/>
  <c r="K39" i="1" s="1"/>
  <c r="H39" i="1"/>
  <c r="G39" i="1"/>
  <c r="L39" i="1" s="1"/>
  <c r="F39" i="1"/>
  <c r="E39" i="1"/>
  <c r="D39" i="1"/>
  <c r="C39" i="1"/>
  <c r="K38" i="1"/>
  <c r="I38" i="1"/>
  <c r="H38" i="1"/>
  <c r="G38" i="1"/>
  <c r="L38" i="1" s="1"/>
  <c r="F38" i="1"/>
  <c r="E38" i="1"/>
  <c r="D38" i="1"/>
  <c r="C38" i="1"/>
  <c r="L37" i="1"/>
  <c r="I37" i="1"/>
  <c r="K37" i="1" s="1"/>
  <c r="H37" i="1"/>
  <c r="G37" i="1"/>
  <c r="F37" i="1"/>
  <c r="E37" i="1"/>
  <c r="D37" i="1"/>
  <c r="C37" i="1"/>
  <c r="K36" i="1"/>
  <c r="I36" i="1"/>
  <c r="H36" i="1"/>
  <c r="G36" i="1"/>
  <c r="L36" i="1" s="1"/>
  <c r="F36" i="1"/>
  <c r="E36" i="1"/>
  <c r="D36" i="1"/>
  <c r="C36" i="1"/>
  <c r="L35" i="1"/>
  <c r="I35" i="1"/>
  <c r="K35" i="1" s="1"/>
  <c r="H35" i="1"/>
  <c r="G35" i="1"/>
  <c r="F35" i="1"/>
  <c r="E35" i="1"/>
  <c r="D35" i="1"/>
  <c r="C35" i="1"/>
  <c r="L34" i="1"/>
  <c r="K34" i="1"/>
  <c r="I34" i="1"/>
  <c r="H34" i="1"/>
  <c r="G34" i="1"/>
  <c r="F34" i="1"/>
  <c r="E34" i="1"/>
  <c r="D34" i="1"/>
  <c r="C34" i="1"/>
  <c r="K33" i="1"/>
  <c r="I33" i="1"/>
  <c r="H33" i="1"/>
  <c r="G33" i="1"/>
  <c r="L33" i="1" s="1"/>
  <c r="F33" i="1"/>
  <c r="E33" i="1"/>
  <c r="D33" i="1"/>
  <c r="C33" i="1"/>
  <c r="L32" i="1"/>
  <c r="I32" i="1"/>
  <c r="K32" i="1" s="1"/>
  <c r="H32" i="1"/>
  <c r="G32" i="1"/>
  <c r="F32" i="1"/>
  <c r="E32" i="1"/>
  <c r="D32" i="1"/>
  <c r="C32" i="1"/>
  <c r="I31" i="1"/>
  <c r="K31" i="1" s="1"/>
  <c r="H31" i="1"/>
  <c r="G31" i="1"/>
  <c r="L31" i="1" s="1"/>
  <c r="F31" i="1"/>
  <c r="E31" i="1"/>
  <c r="D31" i="1"/>
  <c r="C31" i="1"/>
  <c r="K30" i="1"/>
  <c r="I30" i="1"/>
  <c r="H30" i="1"/>
  <c r="G30" i="1"/>
  <c r="L30" i="1" s="1"/>
  <c r="F30" i="1"/>
  <c r="E30" i="1"/>
  <c r="D30" i="1"/>
  <c r="C30" i="1"/>
  <c r="L29" i="1"/>
  <c r="I29" i="1"/>
  <c r="K29" i="1" s="1"/>
  <c r="H29" i="1"/>
  <c r="G29" i="1"/>
  <c r="F29" i="1"/>
  <c r="E29" i="1"/>
  <c r="D29" i="1"/>
  <c r="C29" i="1"/>
  <c r="K28" i="1"/>
  <c r="I28" i="1"/>
  <c r="H28" i="1"/>
  <c r="G28" i="1"/>
  <c r="L28" i="1" s="1"/>
  <c r="F28" i="1"/>
  <c r="E28" i="1"/>
  <c r="D28" i="1"/>
  <c r="C28" i="1"/>
  <c r="I27" i="1"/>
  <c r="I26" i="1"/>
  <c r="I25" i="1"/>
  <c r="I24" i="1"/>
  <c r="I23" i="1"/>
  <c r="I22" i="1"/>
  <c r="J21" i="1"/>
  <c r="J22" i="1" s="1"/>
  <c r="I21" i="1"/>
  <c r="I20" i="1"/>
  <c r="K20" i="1" s="1"/>
  <c r="C20" i="1"/>
  <c r="K19" i="1"/>
  <c r="I19" i="1"/>
  <c r="I18" i="1"/>
  <c r="K18" i="1" s="1"/>
  <c r="K17" i="1"/>
  <c r="I17" i="1"/>
  <c r="K16" i="1"/>
  <c r="I16" i="1"/>
  <c r="I15" i="1"/>
  <c r="K15" i="1" s="1"/>
  <c r="I14" i="1"/>
  <c r="K14" i="1" s="1"/>
  <c r="K13" i="1"/>
  <c r="I13" i="1"/>
  <c r="I12" i="1"/>
  <c r="F12" i="1"/>
  <c r="D13" i="1" s="1"/>
  <c r="F5" i="1"/>
  <c r="C24" i="1" s="1"/>
  <c r="G24" i="1" l="1"/>
  <c r="J23" i="1"/>
  <c r="J24" i="1" s="1"/>
  <c r="J25" i="1" s="1"/>
  <c r="K22" i="1"/>
  <c r="C13" i="1"/>
  <c r="C21" i="1"/>
  <c r="K21" i="1"/>
  <c r="C25" i="1"/>
  <c r="C14" i="1"/>
  <c r="C15" i="1"/>
  <c r="C22" i="1"/>
  <c r="C26" i="1"/>
  <c r="C16" i="1"/>
  <c r="G20" i="1"/>
  <c r="L20" i="1" s="1"/>
  <c r="C17" i="1"/>
  <c r="C23" i="1"/>
  <c r="C27" i="1"/>
  <c r="C18" i="1"/>
  <c r="F6" i="1"/>
  <c r="F7" i="1" s="1"/>
  <c r="C19" i="1"/>
  <c r="H27" i="1" l="1"/>
  <c r="G27" i="1"/>
  <c r="G25" i="1"/>
  <c r="H24" i="1"/>
  <c r="G16" i="1"/>
  <c r="L16" i="1" s="1"/>
  <c r="G21" i="1"/>
  <c r="L21" i="1" s="1"/>
  <c r="G19" i="1"/>
  <c r="L19" i="1" s="1"/>
  <c r="G26" i="1"/>
  <c r="H26" i="1" s="1"/>
  <c r="G13" i="1"/>
  <c r="H13" i="1" s="1"/>
  <c r="E13" i="1"/>
  <c r="C10" i="1"/>
  <c r="H20" i="1"/>
  <c r="G23" i="1"/>
  <c r="G14" i="1"/>
  <c r="L14" i="1" s="1"/>
  <c r="H17" i="1"/>
  <c r="G17" i="1"/>
  <c r="L17" i="1" s="1"/>
  <c r="G22" i="1"/>
  <c r="L22" i="1" s="1"/>
  <c r="H22" i="1"/>
  <c r="K24" i="1"/>
  <c r="L24" i="1" s="1"/>
  <c r="H18" i="1"/>
  <c r="G18" i="1"/>
  <c r="L18" i="1" s="1"/>
  <c r="G15" i="1"/>
  <c r="L15" i="1" s="1"/>
  <c r="J26" i="1"/>
  <c r="K25" i="1"/>
  <c r="K23" i="1"/>
  <c r="F13" i="1" l="1"/>
  <c r="H19" i="1"/>
  <c r="L25" i="1"/>
  <c r="H25" i="1"/>
  <c r="G10" i="1"/>
  <c r="L13" i="1"/>
  <c r="H14" i="1"/>
  <c r="H10" i="1" s="1"/>
  <c r="H15" i="1"/>
  <c r="L23" i="1"/>
  <c r="H21" i="1"/>
  <c r="J27" i="1"/>
  <c r="K27" i="1" s="1"/>
  <c r="L27" i="1" s="1"/>
  <c r="K26" i="1"/>
  <c r="L26" i="1" s="1"/>
  <c r="H23" i="1"/>
  <c r="H16" i="1"/>
  <c r="D14" i="1" l="1"/>
  <c r="E14" i="1" l="1"/>
  <c r="F14" i="1" l="1"/>
  <c r="D15" i="1" l="1"/>
  <c r="E15" i="1" l="1"/>
  <c r="F15" i="1" l="1"/>
  <c r="D16" i="1" l="1"/>
  <c r="E16" i="1" l="1"/>
  <c r="F16" i="1" l="1"/>
  <c r="D17" i="1" l="1"/>
  <c r="E17" i="1" s="1"/>
  <c r="F17" i="1" l="1"/>
  <c r="D18" i="1" l="1"/>
  <c r="E18" i="1" s="1"/>
  <c r="F18" i="1"/>
  <c r="D19" i="1" l="1"/>
  <c r="E19" i="1" s="1"/>
  <c r="F19" i="1" s="1"/>
  <c r="D20" i="1" l="1"/>
  <c r="E20" i="1" s="1"/>
  <c r="F20" i="1" s="1"/>
  <c r="D21" i="1" l="1"/>
  <c r="E21" i="1" s="1"/>
  <c r="F21" i="1" s="1"/>
  <c r="D22" i="1" l="1"/>
  <c r="E22" i="1" s="1"/>
  <c r="F22" i="1" s="1"/>
  <c r="D23" i="1" l="1"/>
  <c r="E23" i="1" s="1"/>
  <c r="F23" i="1"/>
  <c r="D24" i="1" l="1"/>
  <c r="E24" i="1" s="1"/>
  <c r="F24" i="1"/>
  <c r="D25" i="1" l="1"/>
  <c r="E25" i="1" s="1"/>
  <c r="F25" i="1" s="1"/>
  <c r="D26" i="1" l="1"/>
  <c r="E26" i="1" s="1"/>
  <c r="F26" i="1" s="1"/>
  <c r="D27" i="1" l="1"/>
  <c r="E27" i="1" l="1"/>
  <c r="D10" i="1"/>
  <c r="E10" i="1" l="1"/>
  <c r="F27" i="1"/>
  <c r="F10" i="1" s="1"/>
</calcChain>
</file>

<file path=xl/sharedStrings.xml><?xml version="1.0" encoding="utf-8"?>
<sst xmlns="http://schemas.openxmlformats.org/spreadsheetml/2006/main" count="23" uniqueCount="23">
  <si>
    <t>SIMULADOR DE EMPRÉSTIMO COM ANTECIPAÇÃO (TABELA PRICE)</t>
  </si>
  <si>
    <t>1. Preencha as Condições do Empréstimo</t>
  </si>
  <si>
    <t>2. Resumo do Financiamento</t>
  </si>
  <si>
    <t>Valor Financiado (R$):</t>
  </si>
  <si>
    <t>Valor da Parcela (R$):</t>
  </si>
  <si>
    <t>Taxa de Juros (a.m.):</t>
  </si>
  <si>
    <t>Custo Total (R$):</t>
  </si>
  <si>
    <t>Prazo (meses):</t>
  </si>
  <si>
    <t>Total de Juros (R$):</t>
  </si>
  <si>
    <t>Data da Contratação:</t>
  </si>
  <si>
    <t>1º Vencimento:</t>
  </si>
  <si>
    <t>Nota: O 1º período usa juros pró-rata por dias corridos (mês-base de 30 dias). As demais parcelas seguem a Tabela Price mensal. 'Valor p/ Quitar Hoje' é trazido à data da contratação.</t>
  </si>
  <si>
    <t>Mês</t>
  </si>
  <si>
    <t>Valor da Parcela (R$)</t>
  </si>
  <si>
    <t>Juros da Parcela (R$)</t>
  </si>
  <si>
    <t>Amortização (R$)</t>
  </si>
  <si>
    <t>Saldo Devedor (R$)</t>
  </si>
  <si>
    <t>Valor p/ Quitar Hoje (R$)</t>
  </si>
  <si>
    <t>Economia ao Antecipar (R$)</t>
  </si>
  <si>
    <t>VENCIMENTO</t>
  </si>
  <si>
    <t>DATA</t>
  </si>
  <si>
    <t>N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</si>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</sst>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E7D32"/>
      <name val="Calibri"/>
    </font>
    <font>
      <b/>
      <sz val="11"/>
      <color rgb="FF333333"/>
      <name val="Calibri"/>
    </font>
    <font>
      <b/>
      <sz val="11"/>
      <name val="Calibri"/>
    </font>
    <font>
      <b/>
      <sz val="11"/>
      <color rgb="FF000000"/>
      <name val="Calibri"/>
    </font>
    <font>
      <sz val="11"/>
      <color rgb="FFC00000"/>
      <name val="Calibri"/>
    </font>
    <font>
      <sz val="11"/>
      <color rgb="FF0070C0"/>
      <name val="Aptos Narrow"/>
      <family val="2"/>
      <scheme val="minor"/>
    </font>
    <font>
      <sz val="11"/>
      <color rgb="FF0070C0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color rgb="FF0070C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2F9F2"/>
        <bgColor rgb="FFF2F9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4" fontId="0" fillId="2" borderId="0" xfId="0" applyNumberFormat="1" applyFill="1"/>
    <xf numFmtId="4" fontId="5" fillId="0" borderId="0" xfId="0" applyNumberFormat="1" applyFont="1"/>
    <xf numFmtId="10" fontId="0" fillId="2" borderId="0" xfId="0" applyNumberFormat="1" applyFill="1"/>
    <xf numFmtId="4" fontId="0" fillId="0" borderId="0" xfId="0" applyNumberFormat="1"/>
    <xf numFmtId="0" fontId="0" fillId="2" borderId="0" xfId="0" applyFill="1"/>
    <xf numFmtId="4" fontId="6" fillId="0" borderId="0" xfId="0" applyNumberFormat="1" applyFont="1"/>
    <xf numFmtId="14" fontId="7" fillId="2" borderId="0" xfId="0" applyNumberFormat="1" applyFont="1" applyFill="1"/>
    <xf numFmtId="14" fontId="8" fillId="0" borderId="0" xfId="0" applyNumberFormat="1" applyFont="1"/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43" fontId="0" fillId="0" borderId="0" xfId="1" applyFont="1"/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  <xf numFmtId="0" fontId="0" fillId="4" borderId="1" xfId="0" applyFill="1" applyBorder="1"/>
    <xf numFmtId="14" fontId="0" fillId="4" borderId="0" xfId="0" applyNumberFormat="1" applyFill="1"/>
    <xf numFmtId="4" fontId="0" fillId="4" borderId="1" xfId="0" applyNumberFormat="1" applyFill="1" applyBorder="1"/>
    <xf numFmtId="4" fontId="12" fillId="4" borderId="1" xfId="0" applyNumberFormat="1" applyFont="1" applyFill="1" applyBorder="1"/>
    <xf numFmtId="14" fontId="12" fillId="4" borderId="0" xfId="0" applyNumberFormat="1" applyFont="1" applyFill="1"/>
    <xf numFmtId="43" fontId="12" fillId="4" borderId="0" xfId="1" applyFont="1" applyFill="1"/>
    <xf numFmtId="0" fontId="0" fillId="5" borderId="1" xfId="0" applyFill="1" applyBorder="1" applyAlignment="1">
      <alignment horizontal="center" vertical="center"/>
    </xf>
    <xf numFmtId="4" fontId="0" fillId="5" borderId="1" xfId="0" applyNumberForma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168F-C4BF-4BFF-AC81-938770D6F2CE}">
  <dimension ref="A2:P132"/>
  <sheetViews>
    <sheetView showGridLines="0" tabSelected="1" topLeftCell="E1" zoomScale="85" zoomScaleNormal="85" workbookViewId="0">
      <pane ySplit="12" topLeftCell="A13" activePane="bottomLeft" state="frozen"/>
      <selection activeCell="E1" sqref="E1"/>
      <selection pane="bottomLeft" activeCell="I28" sqref="I28"/>
    </sheetView>
  </sheetViews>
  <sheetFormatPr defaultColWidth="0" defaultRowHeight="14.4" x14ac:dyDescent="0.3"/>
  <cols>
    <col min="1" max="1" width="2.6640625" customWidth="1"/>
    <col min="2" max="2" width="27.6640625" customWidth="1"/>
    <col min="3" max="3" width="16.6640625" customWidth="1"/>
    <col min="4" max="4" width="22.109375" customWidth="1"/>
    <col min="5" max="5" width="26.88671875" customWidth="1"/>
    <col min="6" max="6" width="19.5546875" customWidth="1"/>
    <col min="7" max="7" width="25" customWidth="1"/>
    <col min="8" max="8" width="28" customWidth="1"/>
    <col min="9" max="10" width="16.6640625" customWidth="1"/>
    <col min="11" max="11" width="11" bestFit="1" customWidth="1"/>
    <col min="12" max="12" width="16.6640625" customWidth="1"/>
    <col min="13" max="13" width="2.6640625" customWidth="1"/>
    <col min="14" max="16" width="0" hidden="1" customWidth="1"/>
    <col min="17" max="16384" width="8.88671875" hidden="1"/>
  </cols>
  <sheetData>
    <row r="2" spans="2:12" ht="18" x14ac:dyDescent="0.35">
      <c r="B2" s="1" t="s">
        <v>0</v>
      </c>
    </row>
    <row r="4" spans="2:12" x14ac:dyDescent="0.3">
      <c r="B4" s="2" t="s">
        <v>1</v>
      </c>
      <c r="E4" s="2" t="s">
        <v>2</v>
      </c>
    </row>
    <row r="5" spans="2:12" x14ac:dyDescent="0.3">
      <c r="B5" s="3" t="s">
        <v>3</v>
      </c>
      <c r="C5" s="4">
        <v>42000</v>
      </c>
      <c r="E5" s="3" t="s">
        <v>4</v>
      </c>
      <c r="F5" s="5">
        <f>IF(AND(C5&gt;0,C6&gt;0,C7&gt;0,C8&gt;0,F8&gt;C8),PMT(C6,C7,-C5*(1+C6*((F8-C8)/30))/(1+C6)),0)</f>
        <v>3598.8774022968419</v>
      </c>
    </row>
    <row r="6" spans="2:12" x14ac:dyDescent="0.3">
      <c r="B6" s="3" t="s">
        <v>5</v>
      </c>
      <c r="C6" s="6">
        <v>3.6120071179595897E-2</v>
      </c>
      <c r="E6" s="3" t="s">
        <v>6</v>
      </c>
      <c r="F6" s="7">
        <f>IF(F5&gt;0,F5*C7,0)</f>
        <v>53983.161034452627</v>
      </c>
    </row>
    <row r="7" spans="2:12" x14ac:dyDescent="0.3">
      <c r="B7" s="3" t="s">
        <v>7</v>
      </c>
      <c r="C7" s="8">
        <v>15</v>
      </c>
      <c r="E7" s="3" t="s">
        <v>8</v>
      </c>
      <c r="F7" s="9">
        <f>IF(F6&gt;0,F6-C5,0)</f>
        <v>11983.161034452627</v>
      </c>
    </row>
    <row r="8" spans="2:12" x14ac:dyDescent="0.3">
      <c r="B8" s="3" t="s">
        <v>9</v>
      </c>
      <c r="C8" s="10">
        <v>46298</v>
      </c>
      <c r="E8" s="3" t="s">
        <v>10</v>
      </c>
      <c r="F8" s="11">
        <v>46310</v>
      </c>
    </row>
    <row r="9" spans="2:12" ht="60.6" x14ac:dyDescent="0.3">
      <c r="B9" s="12" t="s">
        <v>11</v>
      </c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2:12" x14ac:dyDescent="0.3">
      <c r="C10" s="14">
        <f t="shared" ref="C10:H10" si="0">SUM(C12:C132)</f>
        <v>53983.161034452634</v>
      </c>
      <c r="D10" s="14">
        <f t="shared" si="0"/>
        <v>12861.655543964009</v>
      </c>
      <c r="E10" s="14">
        <f t="shared" si="0"/>
        <v>41121.50549048862</v>
      </c>
      <c r="F10" s="14">
        <f t="shared" si="0"/>
        <v>356080.5702738901</v>
      </c>
      <c r="G10" s="14">
        <f t="shared" si="0"/>
        <v>42000.000000000007</v>
      </c>
      <c r="H10" s="14">
        <f t="shared" si="0"/>
        <v>11983.161034452627</v>
      </c>
    </row>
    <row r="11" spans="2:12" x14ac:dyDescent="0.3">
      <c r="B11" s="15" t="s">
        <v>12</v>
      </c>
      <c r="C11" s="15" t="s">
        <v>13</v>
      </c>
      <c r="D11" s="15" t="s">
        <v>14</v>
      </c>
      <c r="E11" s="15" t="s">
        <v>15</v>
      </c>
      <c r="F11" s="15" t="s">
        <v>16</v>
      </c>
      <c r="G11" s="15" t="s">
        <v>17</v>
      </c>
      <c r="H11" s="15" t="s">
        <v>18</v>
      </c>
      <c r="I11" s="16" t="s">
        <v>19</v>
      </c>
      <c r="J11" s="16" t="s">
        <v>20</v>
      </c>
      <c r="K11" s="16" t="s">
        <v>21</v>
      </c>
      <c r="L11" s="16" t="s">
        <v>22</v>
      </c>
    </row>
    <row r="12" spans="2:12" x14ac:dyDescent="0.3">
      <c r="B12" s="17">
        <v>0</v>
      </c>
      <c r="C12" s="18"/>
      <c r="D12" s="18"/>
      <c r="E12" s="18"/>
      <c r="F12" s="19">
        <f>IF(AND($C$8&gt;0,$F$8&gt;$C$8),$C$5*(1+$C$6*(($F$8-$C$8)/30))/(1+$C$6),$C$5)</f>
        <v>41121.50549048862</v>
      </c>
      <c r="G12" s="20"/>
      <c r="H12" s="20"/>
      <c r="I12" s="21">
        <f>IF($F$8&gt;$C$8,EDATE($F$8,-1),"")</f>
        <v>46280</v>
      </c>
      <c r="J12" s="21"/>
      <c r="K12" s="21"/>
      <c r="L12" s="21"/>
    </row>
    <row r="13" spans="2:12" x14ac:dyDescent="0.3">
      <c r="B13" s="17">
        <v>1</v>
      </c>
      <c r="C13" s="19">
        <f>IF($B13&lt;=$C$7,$F$5,"")</f>
        <v>3598.8774022968419</v>
      </c>
      <c r="D13" s="19">
        <f>IF($B13&lt;=$C$7,F12*$C$6,"")</f>
        <v>1485.3117053285926</v>
      </c>
      <c r="E13" s="19">
        <f>IF($B13&lt;=$C$7,C13-D13,"")</f>
        <v>2113.5656969682495</v>
      </c>
      <c r="F13" s="19">
        <f>IF($B13&lt;=$C$7,MAX(0,F12-E13),"")</f>
        <v>39007.939793520374</v>
      </c>
      <c r="G13" s="22">
        <f>IF($B13&lt;=$C$7,C13/((1+$C$6*(($F$8-$C$8)/30))*(1+$C$6)^($B13-1)),"")</f>
        <v>3547.6212691922524</v>
      </c>
      <c r="H13" s="23">
        <f>IF($B13&lt;=$C$7,C13-G13,"")</f>
        <v>51.25613310458948</v>
      </c>
      <c r="I13" s="24">
        <f>IF($B13&lt;=$C$7,EDATE($F$8,$B13-1),"")</f>
        <v>46310</v>
      </c>
      <c r="J13" s="24">
        <v>46266</v>
      </c>
      <c r="K13" s="25">
        <f t="shared" ref="K13:K76" si="1">IFERROR(ROUND((EOMONTH(I13,-1)+1-EOMONTH(J13,-1)+1)/30,0),"")</f>
        <v>1</v>
      </c>
      <c r="L13" s="25">
        <f t="shared" ref="L13:L76" si="2">IFERROR(IF(G13="","",$F$5/(1+$C$6)^$K13),"")</f>
        <v>3473.4173214110338</v>
      </c>
    </row>
    <row r="14" spans="2:12" x14ac:dyDescent="0.3">
      <c r="B14" s="26">
        <v>2</v>
      </c>
      <c r="C14" s="27">
        <f t="shared" ref="C14:C77" si="3">IF($B14&lt;=$C$7,$F$5,"")</f>
        <v>3598.8774022968419</v>
      </c>
      <c r="D14" s="27">
        <f t="shared" ref="D14:D77" si="4">IF($B14&lt;=$C$7,F13*$C$6,"")</f>
        <v>1408.9695619113472</v>
      </c>
      <c r="E14" s="27">
        <f t="shared" ref="E14:E77" si="5">IF($B14&lt;=$C$7,C14-D14,"")</f>
        <v>2189.9078403854946</v>
      </c>
      <c r="F14" s="27">
        <f t="shared" ref="F14:F77" si="6">IF($B14&lt;=$C$7,MAX(0,F13-E14),"")</f>
        <v>36818.03195313488</v>
      </c>
      <c r="G14" s="22">
        <f t="shared" ref="G14:G77" si="7">IF($B14&lt;=$C$7,C14/((1+$C$6*(($F$8-$C$8)/30))*(1+$C$6)^($B14-1)),"")</f>
        <v>3423.9480228902212</v>
      </c>
      <c r="H14" s="23">
        <f t="shared" ref="H14:H77" si="8">IF($B14&lt;=$C$7,C14-G14,"")</f>
        <v>174.92937940662068</v>
      </c>
      <c r="I14" s="24">
        <f t="shared" ref="I14:I77" si="9">IF($B14&lt;=$C$7,EDATE($F$8,$B14-1),"")</f>
        <v>46341</v>
      </c>
      <c r="J14" s="24">
        <v>46266</v>
      </c>
      <c r="K14" s="25">
        <f t="shared" si="1"/>
        <v>2</v>
      </c>
      <c r="L14" s="25">
        <f t="shared" si="2"/>
        <v>3352.3308910101882</v>
      </c>
    </row>
    <row r="15" spans="2:12" x14ac:dyDescent="0.3">
      <c r="B15" s="17">
        <v>3</v>
      </c>
      <c r="C15" s="19">
        <f t="shared" si="3"/>
        <v>3598.8774022968419</v>
      </c>
      <c r="D15" s="19">
        <f t="shared" si="4"/>
        <v>1329.8699348398679</v>
      </c>
      <c r="E15" s="19">
        <f t="shared" si="5"/>
        <v>2269.0074674569742</v>
      </c>
      <c r="F15" s="19">
        <f t="shared" si="6"/>
        <v>34549.024485677903</v>
      </c>
      <c r="G15" s="22">
        <f t="shared" si="7"/>
        <v>3304.5861364234984</v>
      </c>
      <c r="H15" s="23">
        <f t="shared" si="8"/>
        <v>294.29126587334349</v>
      </c>
      <c r="I15" s="24">
        <f t="shared" si="9"/>
        <v>46371</v>
      </c>
      <c r="J15" s="24">
        <v>46266</v>
      </c>
      <c r="K15" s="25">
        <f t="shared" si="1"/>
        <v>3</v>
      </c>
      <c r="L15" s="25">
        <f t="shared" si="2"/>
        <v>3235.4656417317019</v>
      </c>
    </row>
    <row r="16" spans="2:12" x14ac:dyDescent="0.3">
      <c r="B16" s="26">
        <v>4</v>
      </c>
      <c r="C16" s="27">
        <f t="shared" si="3"/>
        <v>3598.8774022968419</v>
      </c>
      <c r="D16" s="27">
        <f t="shared" si="4"/>
        <v>1247.9132236082874</v>
      </c>
      <c r="E16" s="27">
        <f t="shared" si="5"/>
        <v>2350.9641786885545</v>
      </c>
      <c r="F16" s="27">
        <f t="shared" si="6"/>
        <v>32198.060306989348</v>
      </c>
      <c r="G16" s="22">
        <f t="shared" si="7"/>
        <v>3189.3853119371702</v>
      </c>
      <c r="H16" s="23">
        <f t="shared" si="8"/>
        <v>409.49209035967169</v>
      </c>
      <c r="I16" s="24">
        <f t="shared" si="9"/>
        <v>46402</v>
      </c>
      <c r="J16" s="24">
        <v>46266</v>
      </c>
      <c r="K16" s="25">
        <f t="shared" si="1"/>
        <v>4</v>
      </c>
      <c r="L16" s="25">
        <f t="shared" si="2"/>
        <v>3122.6744194311459</v>
      </c>
    </row>
    <row r="17" spans="2:12" x14ac:dyDescent="0.3">
      <c r="B17" s="17">
        <v>5</v>
      </c>
      <c r="C17" s="19">
        <f t="shared" si="3"/>
        <v>3598.8774022968419</v>
      </c>
      <c r="D17" s="19">
        <f t="shared" si="4"/>
        <v>1162.9962301333765</v>
      </c>
      <c r="E17" s="19">
        <f t="shared" si="5"/>
        <v>2435.8811721634656</v>
      </c>
      <c r="F17" s="19">
        <f t="shared" si="6"/>
        <v>29762.179134825881</v>
      </c>
      <c r="G17" s="22">
        <f t="shared" si="7"/>
        <v>3078.2004910937958</v>
      </c>
      <c r="H17" s="23">
        <f t="shared" si="8"/>
        <v>520.67691120304607</v>
      </c>
      <c r="I17" s="24">
        <f t="shared" si="9"/>
        <v>46433</v>
      </c>
      <c r="J17" s="24">
        <v>46266</v>
      </c>
      <c r="K17" s="25">
        <f t="shared" si="1"/>
        <v>5</v>
      </c>
      <c r="L17" s="25">
        <f t="shared" si="2"/>
        <v>3013.8151998890071</v>
      </c>
    </row>
    <row r="18" spans="2:12" x14ac:dyDescent="0.3">
      <c r="B18" s="26">
        <v>6</v>
      </c>
      <c r="C18" s="27">
        <f t="shared" si="3"/>
        <v>3598.8774022968419</v>
      </c>
      <c r="D18" s="27">
        <f t="shared" si="4"/>
        <v>1075.0120288097946</v>
      </c>
      <c r="E18" s="27">
        <f t="shared" si="5"/>
        <v>2523.8653734870472</v>
      </c>
      <c r="F18" s="27">
        <f t="shared" si="6"/>
        <v>27238.313761338835</v>
      </c>
      <c r="G18" s="22">
        <f t="shared" si="7"/>
        <v>2970.8916724191472</v>
      </c>
      <c r="H18" s="23">
        <f t="shared" si="8"/>
        <v>627.98572987769467</v>
      </c>
      <c r="I18" s="24">
        <f t="shared" si="9"/>
        <v>46461</v>
      </c>
      <c r="J18" s="24">
        <v>46357</v>
      </c>
      <c r="K18" s="25">
        <f t="shared" si="1"/>
        <v>3</v>
      </c>
      <c r="L18" s="25">
        <f t="shared" si="2"/>
        <v>3235.4656417317019</v>
      </c>
    </row>
    <row r="19" spans="2:12" x14ac:dyDescent="0.3">
      <c r="B19" s="17">
        <v>7</v>
      </c>
      <c r="C19" s="19">
        <f t="shared" si="3"/>
        <v>3598.8774022968419</v>
      </c>
      <c r="D19" s="19">
        <f t="shared" si="4"/>
        <v>983.8498318717252</v>
      </c>
      <c r="E19" s="19">
        <f t="shared" si="5"/>
        <v>2615.0275704251167</v>
      </c>
      <c r="F19" s="19">
        <f t="shared" si="6"/>
        <v>24623.286190913717</v>
      </c>
      <c r="G19" s="22">
        <f t="shared" si="7"/>
        <v>2867.3237350154454</v>
      </c>
      <c r="H19" s="23">
        <f t="shared" si="8"/>
        <v>731.55366728139643</v>
      </c>
      <c r="I19" s="24">
        <f t="shared" si="9"/>
        <v>46492</v>
      </c>
      <c r="J19" s="24">
        <v>46357</v>
      </c>
      <c r="K19" s="25">
        <f t="shared" si="1"/>
        <v>4</v>
      </c>
      <c r="L19" s="25">
        <f t="shared" si="2"/>
        <v>3122.6744194311459</v>
      </c>
    </row>
    <row r="20" spans="2:12" x14ac:dyDescent="0.3">
      <c r="B20" s="26">
        <v>8</v>
      </c>
      <c r="C20" s="27">
        <f t="shared" si="3"/>
        <v>3598.8774022968419</v>
      </c>
      <c r="D20" s="27">
        <f t="shared" si="4"/>
        <v>889.39484989136417</v>
      </c>
      <c r="E20" s="27">
        <f t="shared" si="5"/>
        <v>2709.4825524054777</v>
      </c>
      <c r="F20" s="27">
        <f t="shared" si="6"/>
        <v>21913.803638508238</v>
      </c>
      <c r="G20" s="22">
        <f t="shared" si="7"/>
        <v>2767.3662684200981</v>
      </c>
      <c r="H20" s="23">
        <f t="shared" si="8"/>
        <v>831.51113387674377</v>
      </c>
      <c r="I20" s="24">
        <f t="shared" si="9"/>
        <v>46522</v>
      </c>
      <c r="J20" s="24">
        <v>46357</v>
      </c>
      <c r="K20" s="25">
        <f t="shared" si="1"/>
        <v>5</v>
      </c>
      <c r="L20" s="25">
        <f t="shared" si="2"/>
        <v>3013.8151998890071</v>
      </c>
    </row>
    <row r="21" spans="2:12" x14ac:dyDescent="0.3">
      <c r="B21" s="17">
        <v>9</v>
      </c>
      <c r="C21" s="19">
        <f t="shared" si="3"/>
        <v>3598.8774022968419</v>
      </c>
      <c r="D21" s="19">
        <f t="shared" si="4"/>
        <v>791.52814723860513</v>
      </c>
      <c r="E21" s="19">
        <f t="shared" si="5"/>
        <v>2807.3492550582368</v>
      </c>
      <c r="F21" s="19">
        <f t="shared" si="6"/>
        <v>19106.45438345</v>
      </c>
      <c r="G21" s="22">
        <f t="shared" si="7"/>
        <v>2670.8934083957306</v>
      </c>
      <c r="H21" s="23">
        <f t="shared" si="8"/>
        <v>927.98399390111126</v>
      </c>
      <c r="I21" s="24">
        <f t="shared" si="9"/>
        <v>46553</v>
      </c>
      <c r="J21" s="24">
        <f t="shared" ref="J21:J27" si="10">EDATE(J20,1)</f>
        <v>46388</v>
      </c>
      <c r="K21" s="25">
        <f t="shared" si="1"/>
        <v>5</v>
      </c>
      <c r="L21" s="25">
        <f t="shared" si="2"/>
        <v>3013.8151998890071</v>
      </c>
    </row>
    <row r="22" spans="2:12" x14ac:dyDescent="0.3">
      <c r="B22" s="26">
        <v>10</v>
      </c>
      <c r="C22" s="27">
        <f t="shared" si="3"/>
        <v>3598.8774022968419</v>
      </c>
      <c r="D22" s="27">
        <f t="shared" si="4"/>
        <v>690.126492319916</v>
      </c>
      <c r="E22" s="27">
        <f t="shared" si="5"/>
        <v>2908.7509099769259</v>
      </c>
      <c r="F22" s="27">
        <f t="shared" si="6"/>
        <v>16197.703473473073</v>
      </c>
      <c r="G22" s="22">
        <f t="shared" si="7"/>
        <v>2577.7836784447072</v>
      </c>
      <c r="H22" s="23">
        <f t="shared" si="8"/>
        <v>1021.0937238521346</v>
      </c>
      <c r="I22" s="24">
        <f t="shared" si="9"/>
        <v>46583</v>
      </c>
      <c r="J22" s="24">
        <f t="shared" si="10"/>
        <v>46419</v>
      </c>
      <c r="K22" s="25">
        <f t="shared" si="1"/>
        <v>5</v>
      </c>
      <c r="L22" s="25">
        <f t="shared" si="2"/>
        <v>3013.8151998890071</v>
      </c>
    </row>
    <row r="23" spans="2:12" x14ac:dyDescent="0.3">
      <c r="B23" s="17">
        <v>11</v>
      </c>
      <c r="C23" s="19">
        <f t="shared" si="3"/>
        <v>3598.8774022968419</v>
      </c>
      <c r="D23" s="19">
        <f t="shared" si="4"/>
        <v>585.06220240783512</v>
      </c>
      <c r="E23" s="19">
        <f t="shared" si="5"/>
        <v>3013.8151998890066</v>
      </c>
      <c r="F23" s="19">
        <f t="shared" si="6"/>
        <v>13183.888273584067</v>
      </c>
      <c r="G23" s="22">
        <f t="shared" si="7"/>
        <v>2487.9198368486077</v>
      </c>
      <c r="H23" s="23">
        <f t="shared" si="8"/>
        <v>1110.9575654482342</v>
      </c>
      <c r="I23" s="24">
        <f t="shared" si="9"/>
        <v>46614</v>
      </c>
      <c r="J23" s="24">
        <f t="shared" si="10"/>
        <v>46447</v>
      </c>
      <c r="K23" s="25">
        <f t="shared" si="1"/>
        <v>5</v>
      </c>
      <c r="L23" s="25">
        <f t="shared" si="2"/>
        <v>3013.8151998890071</v>
      </c>
    </row>
    <row r="24" spans="2:12" x14ac:dyDescent="0.3">
      <c r="B24" s="26">
        <v>12</v>
      </c>
      <c r="C24" s="27">
        <f t="shared" si="3"/>
        <v>3598.8774022968419</v>
      </c>
      <c r="D24" s="27">
        <f t="shared" si="4"/>
        <v>476.20298286569619</v>
      </c>
      <c r="E24" s="27">
        <f t="shared" si="5"/>
        <v>3122.6744194311459</v>
      </c>
      <c r="F24" s="27">
        <f t="shared" si="6"/>
        <v>10061.21385415292</v>
      </c>
      <c r="G24" s="22">
        <f t="shared" si="7"/>
        <v>2401.1887290400377</v>
      </c>
      <c r="H24" s="23">
        <f t="shared" si="8"/>
        <v>1197.6886732568041</v>
      </c>
      <c r="I24" s="24">
        <f t="shared" si="9"/>
        <v>46645</v>
      </c>
      <c r="J24" s="24">
        <f t="shared" si="10"/>
        <v>46478</v>
      </c>
      <c r="K24" s="25">
        <f t="shared" si="1"/>
        <v>5</v>
      </c>
      <c r="L24" s="25">
        <f t="shared" si="2"/>
        <v>3013.8151998890071</v>
      </c>
    </row>
    <row r="25" spans="2:12" x14ac:dyDescent="0.3">
      <c r="B25" s="17">
        <v>13</v>
      </c>
      <c r="C25" s="19">
        <f t="shared" si="3"/>
        <v>3598.8774022968419</v>
      </c>
      <c r="D25" s="19">
        <f t="shared" si="4"/>
        <v>363.41176056513984</v>
      </c>
      <c r="E25" s="19">
        <f t="shared" si="5"/>
        <v>3235.4656417317019</v>
      </c>
      <c r="F25" s="19">
        <f t="shared" si="6"/>
        <v>6825.7482124212183</v>
      </c>
      <c r="G25" s="22">
        <f t="shared" si="7"/>
        <v>2317.4811451208998</v>
      </c>
      <c r="H25" s="23">
        <f t="shared" si="8"/>
        <v>1281.3962571759421</v>
      </c>
      <c r="I25" s="24">
        <f t="shared" si="9"/>
        <v>46675</v>
      </c>
      <c r="J25" s="24">
        <f t="shared" si="10"/>
        <v>46508</v>
      </c>
      <c r="K25" s="25">
        <f t="shared" si="1"/>
        <v>5</v>
      </c>
      <c r="L25" s="25">
        <f t="shared" si="2"/>
        <v>3013.8151998890071</v>
      </c>
    </row>
    <row r="26" spans="2:12" x14ac:dyDescent="0.3">
      <c r="B26" s="26">
        <v>14</v>
      </c>
      <c r="C26" s="27">
        <f t="shared" si="3"/>
        <v>3598.8774022968419</v>
      </c>
      <c r="D26" s="27">
        <f t="shared" si="4"/>
        <v>246.54651128665387</v>
      </c>
      <c r="E26" s="27">
        <f t="shared" si="5"/>
        <v>3352.3308910101878</v>
      </c>
      <c r="F26" s="27">
        <f t="shared" si="6"/>
        <v>3473.4173214110306</v>
      </c>
      <c r="G26" s="22">
        <f t="shared" si="7"/>
        <v>2236.6916823476909</v>
      </c>
      <c r="H26" s="23">
        <f t="shared" si="8"/>
        <v>1362.185719949151</v>
      </c>
      <c r="I26" s="24">
        <f t="shared" si="9"/>
        <v>46706</v>
      </c>
      <c r="J26" s="24">
        <f t="shared" si="10"/>
        <v>46539</v>
      </c>
      <c r="K26" s="25">
        <f t="shared" si="1"/>
        <v>5</v>
      </c>
      <c r="L26" s="25">
        <f t="shared" si="2"/>
        <v>3013.8151998890071</v>
      </c>
    </row>
    <row r="27" spans="2:12" x14ac:dyDescent="0.3">
      <c r="B27" s="17">
        <v>15</v>
      </c>
      <c r="C27" s="19">
        <f t="shared" si="3"/>
        <v>3598.8774022968419</v>
      </c>
      <c r="D27" s="19">
        <f t="shared" si="4"/>
        <v>125.46008088580774</v>
      </c>
      <c r="E27" s="19">
        <f t="shared" si="5"/>
        <v>3473.4173214110342</v>
      </c>
      <c r="F27" s="19">
        <f t="shared" si="6"/>
        <v>0</v>
      </c>
      <c r="G27" s="22">
        <f t="shared" si="7"/>
        <v>2158.7186124106979</v>
      </c>
      <c r="H27" s="23">
        <f t="shared" si="8"/>
        <v>1440.1587898861439</v>
      </c>
      <c r="I27" s="24">
        <f t="shared" si="9"/>
        <v>46736</v>
      </c>
      <c r="J27" s="24">
        <f t="shared" si="10"/>
        <v>46569</v>
      </c>
      <c r="K27" s="25">
        <f t="shared" si="1"/>
        <v>5</v>
      </c>
      <c r="L27" s="25">
        <f t="shared" si="2"/>
        <v>3013.8151998890071</v>
      </c>
    </row>
    <row r="28" spans="2:12" x14ac:dyDescent="0.3">
      <c r="B28" s="26">
        <v>16</v>
      </c>
      <c r="C28" s="27" t="str">
        <f t="shared" si="3"/>
        <v/>
      </c>
      <c r="D28" s="27" t="str">
        <f t="shared" si="4"/>
        <v/>
      </c>
      <c r="E28" s="27" t="str">
        <f t="shared" si="5"/>
        <v/>
      </c>
      <c r="F28" s="27" t="str">
        <f t="shared" si="6"/>
        <v/>
      </c>
      <c r="G28" s="22" t="str">
        <f t="shared" si="7"/>
        <v/>
      </c>
      <c r="H28" s="23" t="str">
        <f t="shared" si="8"/>
        <v/>
      </c>
      <c r="I28" s="24" t="str">
        <f t="shared" si="9"/>
        <v/>
      </c>
      <c r="J28" s="24"/>
      <c r="K28" s="25" t="str">
        <f t="shared" si="1"/>
        <v/>
      </c>
      <c r="L28" s="25" t="str">
        <f t="shared" si="2"/>
        <v/>
      </c>
    </row>
    <row r="29" spans="2:12" x14ac:dyDescent="0.3">
      <c r="B29" s="17">
        <v>17</v>
      </c>
      <c r="C29" s="19" t="str">
        <f t="shared" si="3"/>
        <v/>
      </c>
      <c r="D29" s="19" t="str">
        <f t="shared" si="4"/>
        <v/>
      </c>
      <c r="E29" s="19" t="str">
        <f t="shared" si="5"/>
        <v/>
      </c>
      <c r="F29" s="19" t="str">
        <f t="shared" si="6"/>
        <v/>
      </c>
      <c r="G29" s="22" t="str">
        <f t="shared" si="7"/>
        <v/>
      </c>
      <c r="H29" s="23" t="str">
        <f t="shared" si="8"/>
        <v/>
      </c>
      <c r="I29" s="24" t="str">
        <f t="shared" si="9"/>
        <v/>
      </c>
      <c r="J29" s="24"/>
      <c r="K29" s="25" t="str">
        <f t="shared" si="1"/>
        <v/>
      </c>
      <c r="L29" s="25" t="str">
        <f t="shared" si="2"/>
        <v/>
      </c>
    </row>
    <row r="30" spans="2:12" x14ac:dyDescent="0.3">
      <c r="B30" s="26">
        <v>18</v>
      </c>
      <c r="C30" s="27" t="str">
        <f t="shared" si="3"/>
        <v/>
      </c>
      <c r="D30" s="27" t="str">
        <f t="shared" si="4"/>
        <v/>
      </c>
      <c r="E30" s="27" t="str">
        <f t="shared" si="5"/>
        <v/>
      </c>
      <c r="F30" s="27" t="str">
        <f t="shared" si="6"/>
        <v/>
      </c>
      <c r="G30" s="22" t="str">
        <f t="shared" si="7"/>
        <v/>
      </c>
      <c r="H30" s="23" t="str">
        <f t="shared" si="8"/>
        <v/>
      </c>
      <c r="I30" s="24" t="str">
        <f t="shared" si="9"/>
        <v/>
      </c>
      <c r="J30" s="24"/>
      <c r="K30" s="25" t="str">
        <f t="shared" si="1"/>
        <v/>
      </c>
      <c r="L30" s="25" t="str">
        <f t="shared" si="2"/>
        <v/>
      </c>
    </row>
    <row r="31" spans="2:12" x14ac:dyDescent="0.3">
      <c r="B31" s="17">
        <v>19</v>
      </c>
      <c r="C31" s="19" t="str">
        <f t="shared" si="3"/>
        <v/>
      </c>
      <c r="D31" s="19" t="str">
        <f t="shared" si="4"/>
        <v/>
      </c>
      <c r="E31" s="19" t="str">
        <f t="shared" si="5"/>
        <v/>
      </c>
      <c r="F31" s="19" t="str">
        <f t="shared" si="6"/>
        <v/>
      </c>
      <c r="G31" s="22" t="str">
        <f t="shared" si="7"/>
        <v/>
      </c>
      <c r="H31" s="23" t="str">
        <f t="shared" si="8"/>
        <v/>
      </c>
      <c r="I31" s="24" t="str">
        <f t="shared" si="9"/>
        <v/>
      </c>
      <c r="J31" s="24"/>
      <c r="K31" s="25" t="str">
        <f t="shared" si="1"/>
        <v/>
      </c>
      <c r="L31" s="25" t="str">
        <f t="shared" si="2"/>
        <v/>
      </c>
    </row>
    <row r="32" spans="2:12" x14ac:dyDescent="0.3">
      <c r="B32" s="26">
        <v>20</v>
      </c>
      <c r="C32" s="27" t="str">
        <f t="shared" si="3"/>
        <v/>
      </c>
      <c r="D32" s="27" t="str">
        <f t="shared" si="4"/>
        <v/>
      </c>
      <c r="E32" s="27" t="str">
        <f t="shared" si="5"/>
        <v/>
      </c>
      <c r="F32" s="27" t="str">
        <f t="shared" si="6"/>
        <v/>
      </c>
      <c r="G32" s="22" t="str">
        <f t="shared" si="7"/>
        <v/>
      </c>
      <c r="H32" s="23" t="str">
        <f t="shared" si="8"/>
        <v/>
      </c>
      <c r="I32" s="24" t="str">
        <f t="shared" si="9"/>
        <v/>
      </c>
      <c r="J32" s="24"/>
      <c r="K32" s="25" t="str">
        <f t="shared" si="1"/>
        <v/>
      </c>
      <c r="L32" s="25" t="str">
        <f t="shared" si="2"/>
        <v/>
      </c>
    </row>
    <row r="33" spans="2:12" x14ac:dyDescent="0.3">
      <c r="B33" s="17">
        <v>21</v>
      </c>
      <c r="C33" s="19" t="str">
        <f t="shared" si="3"/>
        <v/>
      </c>
      <c r="D33" s="19" t="str">
        <f t="shared" si="4"/>
        <v/>
      </c>
      <c r="E33" s="19" t="str">
        <f t="shared" si="5"/>
        <v/>
      </c>
      <c r="F33" s="19" t="str">
        <f t="shared" si="6"/>
        <v/>
      </c>
      <c r="G33" s="22" t="str">
        <f t="shared" si="7"/>
        <v/>
      </c>
      <c r="H33" s="23" t="str">
        <f t="shared" si="8"/>
        <v/>
      </c>
      <c r="I33" s="24" t="str">
        <f t="shared" si="9"/>
        <v/>
      </c>
      <c r="J33" s="24"/>
      <c r="K33" s="25" t="str">
        <f t="shared" si="1"/>
        <v/>
      </c>
      <c r="L33" s="25" t="str">
        <f t="shared" si="2"/>
        <v/>
      </c>
    </row>
    <row r="34" spans="2:12" x14ac:dyDescent="0.3">
      <c r="B34" s="26">
        <v>22</v>
      </c>
      <c r="C34" s="27" t="str">
        <f t="shared" si="3"/>
        <v/>
      </c>
      <c r="D34" s="27" t="str">
        <f t="shared" si="4"/>
        <v/>
      </c>
      <c r="E34" s="27" t="str">
        <f t="shared" si="5"/>
        <v/>
      </c>
      <c r="F34" s="27" t="str">
        <f t="shared" si="6"/>
        <v/>
      </c>
      <c r="G34" s="22" t="str">
        <f t="shared" si="7"/>
        <v/>
      </c>
      <c r="H34" s="23" t="str">
        <f t="shared" si="8"/>
        <v/>
      </c>
      <c r="I34" s="24" t="str">
        <f t="shared" si="9"/>
        <v/>
      </c>
      <c r="J34" s="24"/>
      <c r="K34" s="25" t="str">
        <f t="shared" si="1"/>
        <v/>
      </c>
      <c r="L34" s="25" t="str">
        <f t="shared" si="2"/>
        <v/>
      </c>
    </row>
    <row r="35" spans="2:12" x14ac:dyDescent="0.3">
      <c r="B35" s="17">
        <v>23</v>
      </c>
      <c r="C35" s="19" t="str">
        <f t="shared" si="3"/>
        <v/>
      </c>
      <c r="D35" s="19" t="str">
        <f t="shared" si="4"/>
        <v/>
      </c>
      <c r="E35" s="19" t="str">
        <f t="shared" si="5"/>
        <v/>
      </c>
      <c r="F35" s="19" t="str">
        <f t="shared" si="6"/>
        <v/>
      </c>
      <c r="G35" s="22" t="str">
        <f t="shared" si="7"/>
        <v/>
      </c>
      <c r="H35" s="23" t="str">
        <f t="shared" si="8"/>
        <v/>
      </c>
      <c r="I35" s="24" t="str">
        <f t="shared" si="9"/>
        <v/>
      </c>
      <c r="J35" s="24"/>
      <c r="K35" s="25" t="str">
        <f t="shared" si="1"/>
        <v/>
      </c>
      <c r="L35" s="25" t="str">
        <f t="shared" si="2"/>
        <v/>
      </c>
    </row>
    <row r="36" spans="2:12" x14ac:dyDescent="0.3">
      <c r="B36" s="26">
        <v>24</v>
      </c>
      <c r="C36" s="27" t="str">
        <f t="shared" si="3"/>
        <v/>
      </c>
      <c r="D36" s="27" t="str">
        <f t="shared" si="4"/>
        <v/>
      </c>
      <c r="E36" s="27" t="str">
        <f t="shared" si="5"/>
        <v/>
      </c>
      <c r="F36" s="27" t="str">
        <f t="shared" si="6"/>
        <v/>
      </c>
      <c r="G36" s="22" t="str">
        <f t="shared" si="7"/>
        <v/>
      </c>
      <c r="H36" s="23" t="str">
        <f t="shared" si="8"/>
        <v/>
      </c>
      <c r="I36" s="24" t="str">
        <f t="shared" si="9"/>
        <v/>
      </c>
      <c r="J36" s="24"/>
      <c r="K36" s="25" t="str">
        <f t="shared" si="1"/>
        <v/>
      </c>
      <c r="L36" s="25" t="str">
        <f t="shared" si="2"/>
        <v/>
      </c>
    </row>
    <row r="37" spans="2:12" x14ac:dyDescent="0.3">
      <c r="B37" s="17">
        <v>25</v>
      </c>
      <c r="C37" s="19" t="str">
        <f t="shared" si="3"/>
        <v/>
      </c>
      <c r="D37" s="19" t="str">
        <f t="shared" si="4"/>
        <v/>
      </c>
      <c r="E37" s="19" t="str">
        <f t="shared" si="5"/>
        <v/>
      </c>
      <c r="F37" s="19" t="str">
        <f t="shared" si="6"/>
        <v/>
      </c>
      <c r="G37" s="22" t="str">
        <f t="shared" si="7"/>
        <v/>
      </c>
      <c r="H37" s="23" t="str">
        <f t="shared" si="8"/>
        <v/>
      </c>
      <c r="I37" s="24" t="str">
        <f t="shared" si="9"/>
        <v/>
      </c>
      <c r="J37" s="24"/>
      <c r="K37" s="25" t="str">
        <f t="shared" si="1"/>
        <v/>
      </c>
      <c r="L37" s="25" t="str">
        <f t="shared" si="2"/>
        <v/>
      </c>
    </row>
    <row r="38" spans="2:12" x14ac:dyDescent="0.3">
      <c r="B38" s="26">
        <v>26</v>
      </c>
      <c r="C38" s="27" t="str">
        <f t="shared" si="3"/>
        <v/>
      </c>
      <c r="D38" s="27" t="str">
        <f t="shared" si="4"/>
        <v/>
      </c>
      <c r="E38" s="27" t="str">
        <f t="shared" si="5"/>
        <v/>
      </c>
      <c r="F38" s="27" t="str">
        <f t="shared" si="6"/>
        <v/>
      </c>
      <c r="G38" s="22" t="str">
        <f t="shared" si="7"/>
        <v/>
      </c>
      <c r="H38" s="23" t="str">
        <f t="shared" si="8"/>
        <v/>
      </c>
      <c r="I38" s="24" t="str">
        <f t="shared" si="9"/>
        <v/>
      </c>
      <c r="J38" s="24"/>
      <c r="K38" s="25" t="str">
        <f t="shared" si="1"/>
        <v/>
      </c>
      <c r="L38" s="25" t="str">
        <f t="shared" si="2"/>
        <v/>
      </c>
    </row>
    <row r="39" spans="2:12" x14ac:dyDescent="0.3">
      <c r="B39" s="17">
        <v>27</v>
      </c>
      <c r="C39" s="19" t="str">
        <f t="shared" si="3"/>
        <v/>
      </c>
      <c r="D39" s="19" t="str">
        <f t="shared" si="4"/>
        <v/>
      </c>
      <c r="E39" s="19" t="str">
        <f t="shared" si="5"/>
        <v/>
      </c>
      <c r="F39" s="19" t="str">
        <f t="shared" si="6"/>
        <v/>
      </c>
      <c r="G39" s="22" t="str">
        <f t="shared" si="7"/>
        <v/>
      </c>
      <c r="H39" s="23" t="str">
        <f t="shared" si="8"/>
        <v/>
      </c>
      <c r="I39" s="24" t="str">
        <f t="shared" si="9"/>
        <v/>
      </c>
      <c r="J39" s="24"/>
      <c r="K39" s="25" t="str">
        <f t="shared" si="1"/>
        <v/>
      </c>
      <c r="L39" s="25" t="str">
        <f t="shared" si="2"/>
        <v/>
      </c>
    </row>
    <row r="40" spans="2:12" x14ac:dyDescent="0.3">
      <c r="B40" s="26">
        <v>28</v>
      </c>
      <c r="C40" s="27" t="str">
        <f t="shared" si="3"/>
        <v/>
      </c>
      <c r="D40" s="27" t="str">
        <f t="shared" si="4"/>
        <v/>
      </c>
      <c r="E40" s="27" t="str">
        <f t="shared" si="5"/>
        <v/>
      </c>
      <c r="F40" s="27" t="str">
        <f t="shared" si="6"/>
        <v/>
      </c>
      <c r="G40" s="22" t="str">
        <f t="shared" si="7"/>
        <v/>
      </c>
      <c r="H40" s="23" t="str">
        <f t="shared" si="8"/>
        <v/>
      </c>
      <c r="I40" s="24" t="str">
        <f t="shared" si="9"/>
        <v/>
      </c>
      <c r="J40" s="24"/>
      <c r="K40" s="25" t="str">
        <f t="shared" si="1"/>
        <v/>
      </c>
      <c r="L40" s="25" t="str">
        <f t="shared" si="2"/>
        <v/>
      </c>
    </row>
    <row r="41" spans="2:12" x14ac:dyDescent="0.3">
      <c r="B41" s="17">
        <v>29</v>
      </c>
      <c r="C41" s="19" t="str">
        <f t="shared" si="3"/>
        <v/>
      </c>
      <c r="D41" s="19" t="str">
        <f t="shared" si="4"/>
        <v/>
      </c>
      <c r="E41" s="19" t="str">
        <f t="shared" si="5"/>
        <v/>
      </c>
      <c r="F41" s="19" t="str">
        <f t="shared" si="6"/>
        <v/>
      </c>
      <c r="G41" s="22" t="str">
        <f t="shared" si="7"/>
        <v/>
      </c>
      <c r="H41" s="23" t="str">
        <f t="shared" si="8"/>
        <v/>
      </c>
      <c r="I41" s="24" t="str">
        <f t="shared" si="9"/>
        <v/>
      </c>
      <c r="J41" s="24"/>
      <c r="K41" s="25" t="str">
        <f t="shared" si="1"/>
        <v/>
      </c>
      <c r="L41" s="25" t="str">
        <f t="shared" si="2"/>
        <v/>
      </c>
    </row>
    <row r="42" spans="2:12" x14ac:dyDescent="0.3">
      <c r="B42" s="26">
        <v>30</v>
      </c>
      <c r="C42" s="27" t="str">
        <f t="shared" si="3"/>
        <v/>
      </c>
      <c r="D42" s="27" t="str">
        <f t="shared" si="4"/>
        <v/>
      </c>
      <c r="E42" s="27" t="str">
        <f t="shared" si="5"/>
        <v/>
      </c>
      <c r="F42" s="27" t="str">
        <f t="shared" si="6"/>
        <v/>
      </c>
      <c r="G42" s="22" t="str">
        <f t="shared" si="7"/>
        <v/>
      </c>
      <c r="H42" s="23" t="str">
        <f t="shared" si="8"/>
        <v/>
      </c>
      <c r="I42" s="24" t="str">
        <f t="shared" si="9"/>
        <v/>
      </c>
      <c r="J42" s="24"/>
      <c r="K42" s="25" t="str">
        <f t="shared" si="1"/>
        <v/>
      </c>
      <c r="L42" s="25" t="str">
        <f t="shared" si="2"/>
        <v/>
      </c>
    </row>
    <row r="43" spans="2:12" x14ac:dyDescent="0.3">
      <c r="B43" s="17">
        <v>31</v>
      </c>
      <c r="C43" s="19" t="str">
        <f t="shared" si="3"/>
        <v/>
      </c>
      <c r="D43" s="19" t="str">
        <f t="shared" si="4"/>
        <v/>
      </c>
      <c r="E43" s="19" t="str">
        <f t="shared" si="5"/>
        <v/>
      </c>
      <c r="F43" s="19" t="str">
        <f t="shared" si="6"/>
        <v/>
      </c>
      <c r="G43" s="22" t="str">
        <f t="shared" si="7"/>
        <v/>
      </c>
      <c r="H43" s="23" t="str">
        <f t="shared" si="8"/>
        <v/>
      </c>
      <c r="I43" s="24" t="str">
        <f t="shared" si="9"/>
        <v/>
      </c>
      <c r="J43" s="24"/>
      <c r="K43" s="25" t="str">
        <f t="shared" si="1"/>
        <v/>
      </c>
      <c r="L43" s="25" t="str">
        <f t="shared" si="2"/>
        <v/>
      </c>
    </row>
    <row r="44" spans="2:12" x14ac:dyDescent="0.3">
      <c r="B44" s="26">
        <v>32</v>
      </c>
      <c r="C44" s="27" t="str">
        <f t="shared" si="3"/>
        <v/>
      </c>
      <c r="D44" s="27" t="str">
        <f t="shared" si="4"/>
        <v/>
      </c>
      <c r="E44" s="27" t="str">
        <f t="shared" si="5"/>
        <v/>
      </c>
      <c r="F44" s="27" t="str">
        <f t="shared" si="6"/>
        <v/>
      </c>
      <c r="G44" s="22" t="str">
        <f t="shared" si="7"/>
        <v/>
      </c>
      <c r="H44" s="23" t="str">
        <f t="shared" si="8"/>
        <v/>
      </c>
      <c r="I44" s="24" t="str">
        <f t="shared" si="9"/>
        <v/>
      </c>
      <c r="J44" s="24"/>
      <c r="K44" s="25" t="str">
        <f t="shared" si="1"/>
        <v/>
      </c>
      <c r="L44" s="25" t="str">
        <f t="shared" si="2"/>
        <v/>
      </c>
    </row>
    <row r="45" spans="2:12" x14ac:dyDescent="0.3">
      <c r="B45" s="17">
        <v>33</v>
      </c>
      <c r="C45" s="19" t="str">
        <f t="shared" si="3"/>
        <v/>
      </c>
      <c r="D45" s="19" t="str">
        <f t="shared" si="4"/>
        <v/>
      </c>
      <c r="E45" s="19" t="str">
        <f t="shared" si="5"/>
        <v/>
      </c>
      <c r="F45" s="19" t="str">
        <f t="shared" si="6"/>
        <v/>
      </c>
      <c r="G45" s="22" t="str">
        <f t="shared" si="7"/>
        <v/>
      </c>
      <c r="H45" s="23" t="str">
        <f t="shared" si="8"/>
        <v/>
      </c>
      <c r="I45" s="24" t="str">
        <f t="shared" si="9"/>
        <v/>
      </c>
      <c r="J45" s="24"/>
      <c r="K45" s="25" t="str">
        <f t="shared" si="1"/>
        <v/>
      </c>
      <c r="L45" s="25" t="str">
        <f t="shared" si="2"/>
        <v/>
      </c>
    </row>
    <row r="46" spans="2:12" x14ac:dyDescent="0.3">
      <c r="B46" s="26">
        <v>34</v>
      </c>
      <c r="C46" s="27" t="str">
        <f t="shared" si="3"/>
        <v/>
      </c>
      <c r="D46" s="27" t="str">
        <f t="shared" si="4"/>
        <v/>
      </c>
      <c r="E46" s="27" t="str">
        <f t="shared" si="5"/>
        <v/>
      </c>
      <c r="F46" s="27" t="str">
        <f t="shared" si="6"/>
        <v/>
      </c>
      <c r="G46" s="22" t="str">
        <f t="shared" si="7"/>
        <v/>
      </c>
      <c r="H46" s="23" t="str">
        <f t="shared" si="8"/>
        <v/>
      </c>
      <c r="I46" s="24" t="str">
        <f t="shared" si="9"/>
        <v/>
      </c>
      <c r="J46" s="24"/>
      <c r="K46" s="25" t="str">
        <f t="shared" si="1"/>
        <v/>
      </c>
      <c r="L46" s="25" t="str">
        <f t="shared" si="2"/>
        <v/>
      </c>
    </row>
    <row r="47" spans="2:12" x14ac:dyDescent="0.3">
      <c r="B47" s="17">
        <v>35</v>
      </c>
      <c r="C47" s="19" t="str">
        <f t="shared" si="3"/>
        <v/>
      </c>
      <c r="D47" s="19" t="str">
        <f t="shared" si="4"/>
        <v/>
      </c>
      <c r="E47" s="19" t="str">
        <f t="shared" si="5"/>
        <v/>
      </c>
      <c r="F47" s="19" t="str">
        <f t="shared" si="6"/>
        <v/>
      </c>
      <c r="G47" s="22" t="str">
        <f t="shared" si="7"/>
        <v/>
      </c>
      <c r="H47" s="23" t="str">
        <f t="shared" si="8"/>
        <v/>
      </c>
      <c r="I47" s="24" t="str">
        <f t="shared" si="9"/>
        <v/>
      </c>
      <c r="J47" s="24"/>
      <c r="K47" s="25" t="str">
        <f t="shared" si="1"/>
        <v/>
      </c>
      <c r="L47" s="25" t="str">
        <f t="shared" si="2"/>
        <v/>
      </c>
    </row>
    <row r="48" spans="2:12" x14ac:dyDescent="0.3">
      <c r="B48" s="26">
        <v>36</v>
      </c>
      <c r="C48" s="27" t="str">
        <f t="shared" si="3"/>
        <v/>
      </c>
      <c r="D48" s="27" t="str">
        <f t="shared" si="4"/>
        <v/>
      </c>
      <c r="E48" s="27" t="str">
        <f t="shared" si="5"/>
        <v/>
      </c>
      <c r="F48" s="27" t="str">
        <f t="shared" si="6"/>
        <v/>
      </c>
      <c r="G48" s="22" t="str">
        <f t="shared" si="7"/>
        <v/>
      </c>
      <c r="H48" s="23" t="str">
        <f t="shared" si="8"/>
        <v/>
      </c>
      <c r="I48" s="24" t="str">
        <f t="shared" si="9"/>
        <v/>
      </c>
      <c r="J48" s="24"/>
      <c r="K48" s="25" t="str">
        <f t="shared" si="1"/>
        <v/>
      </c>
      <c r="L48" s="25" t="str">
        <f t="shared" si="2"/>
        <v/>
      </c>
    </row>
    <row r="49" spans="2:12" x14ac:dyDescent="0.3">
      <c r="B49" s="17">
        <v>37</v>
      </c>
      <c r="C49" s="19" t="str">
        <f t="shared" si="3"/>
        <v/>
      </c>
      <c r="D49" s="19" t="str">
        <f t="shared" si="4"/>
        <v/>
      </c>
      <c r="E49" s="19" t="str">
        <f t="shared" si="5"/>
        <v/>
      </c>
      <c r="F49" s="19" t="str">
        <f t="shared" si="6"/>
        <v/>
      </c>
      <c r="G49" s="22" t="str">
        <f t="shared" si="7"/>
        <v/>
      </c>
      <c r="H49" s="23" t="str">
        <f t="shared" si="8"/>
        <v/>
      </c>
      <c r="I49" s="24" t="str">
        <f t="shared" si="9"/>
        <v/>
      </c>
      <c r="J49" s="24"/>
      <c r="K49" s="25" t="str">
        <f t="shared" si="1"/>
        <v/>
      </c>
      <c r="L49" s="25" t="str">
        <f t="shared" si="2"/>
        <v/>
      </c>
    </row>
    <row r="50" spans="2:12" x14ac:dyDescent="0.3">
      <c r="B50" s="26">
        <v>38</v>
      </c>
      <c r="C50" s="27" t="str">
        <f t="shared" si="3"/>
        <v/>
      </c>
      <c r="D50" s="27" t="str">
        <f t="shared" si="4"/>
        <v/>
      </c>
      <c r="E50" s="27" t="str">
        <f t="shared" si="5"/>
        <v/>
      </c>
      <c r="F50" s="27" t="str">
        <f t="shared" si="6"/>
        <v/>
      </c>
      <c r="G50" s="22" t="str">
        <f t="shared" si="7"/>
        <v/>
      </c>
      <c r="H50" s="23" t="str">
        <f t="shared" si="8"/>
        <v/>
      </c>
      <c r="I50" s="24" t="str">
        <f t="shared" si="9"/>
        <v/>
      </c>
      <c r="J50" s="24"/>
      <c r="K50" s="25" t="str">
        <f t="shared" si="1"/>
        <v/>
      </c>
      <c r="L50" s="25" t="str">
        <f t="shared" si="2"/>
        <v/>
      </c>
    </row>
    <row r="51" spans="2:12" x14ac:dyDescent="0.3">
      <c r="B51" s="17">
        <v>39</v>
      </c>
      <c r="C51" s="19" t="str">
        <f t="shared" si="3"/>
        <v/>
      </c>
      <c r="D51" s="19" t="str">
        <f t="shared" si="4"/>
        <v/>
      </c>
      <c r="E51" s="19" t="str">
        <f t="shared" si="5"/>
        <v/>
      </c>
      <c r="F51" s="19" t="str">
        <f t="shared" si="6"/>
        <v/>
      </c>
      <c r="G51" s="22" t="str">
        <f t="shared" si="7"/>
        <v/>
      </c>
      <c r="H51" s="23" t="str">
        <f t="shared" si="8"/>
        <v/>
      </c>
      <c r="I51" s="24" t="str">
        <f t="shared" si="9"/>
        <v/>
      </c>
      <c r="J51" s="24"/>
      <c r="K51" s="25" t="str">
        <f t="shared" si="1"/>
        <v/>
      </c>
      <c r="L51" s="25" t="str">
        <f t="shared" si="2"/>
        <v/>
      </c>
    </row>
    <row r="52" spans="2:12" x14ac:dyDescent="0.3">
      <c r="B52" s="26">
        <v>40</v>
      </c>
      <c r="C52" s="27" t="str">
        <f t="shared" si="3"/>
        <v/>
      </c>
      <c r="D52" s="27" t="str">
        <f t="shared" si="4"/>
        <v/>
      </c>
      <c r="E52" s="27" t="str">
        <f t="shared" si="5"/>
        <v/>
      </c>
      <c r="F52" s="27" t="str">
        <f t="shared" si="6"/>
        <v/>
      </c>
      <c r="G52" s="22" t="str">
        <f t="shared" si="7"/>
        <v/>
      </c>
      <c r="H52" s="23" t="str">
        <f t="shared" si="8"/>
        <v/>
      </c>
      <c r="I52" s="24" t="str">
        <f t="shared" si="9"/>
        <v/>
      </c>
      <c r="J52" s="24"/>
      <c r="K52" s="25" t="str">
        <f t="shared" si="1"/>
        <v/>
      </c>
      <c r="L52" s="25" t="str">
        <f t="shared" si="2"/>
        <v/>
      </c>
    </row>
    <row r="53" spans="2:12" x14ac:dyDescent="0.3">
      <c r="B53" s="17">
        <v>41</v>
      </c>
      <c r="C53" s="19" t="str">
        <f t="shared" si="3"/>
        <v/>
      </c>
      <c r="D53" s="19" t="str">
        <f t="shared" si="4"/>
        <v/>
      </c>
      <c r="E53" s="19" t="str">
        <f t="shared" si="5"/>
        <v/>
      </c>
      <c r="F53" s="19" t="str">
        <f t="shared" si="6"/>
        <v/>
      </c>
      <c r="G53" s="22" t="str">
        <f t="shared" si="7"/>
        <v/>
      </c>
      <c r="H53" s="23" t="str">
        <f t="shared" si="8"/>
        <v/>
      </c>
      <c r="I53" s="24" t="str">
        <f t="shared" si="9"/>
        <v/>
      </c>
      <c r="J53" s="24"/>
      <c r="K53" s="25" t="str">
        <f t="shared" si="1"/>
        <v/>
      </c>
      <c r="L53" s="25" t="str">
        <f t="shared" si="2"/>
        <v/>
      </c>
    </row>
    <row r="54" spans="2:12" x14ac:dyDescent="0.3">
      <c r="B54" s="26">
        <v>42</v>
      </c>
      <c r="C54" s="27" t="str">
        <f t="shared" si="3"/>
        <v/>
      </c>
      <c r="D54" s="27" t="str">
        <f t="shared" si="4"/>
        <v/>
      </c>
      <c r="E54" s="27" t="str">
        <f t="shared" si="5"/>
        <v/>
      </c>
      <c r="F54" s="27" t="str">
        <f t="shared" si="6"/>
        <v/>
      </c>
      <c r="G54" s="22" t="str">
        <f t="shared" si="7"/>
        <v/>
      </c>
      <c r="H54" s="23" t="str">
        <f t="shared" si="8"/>
        <v/>
      </c>
      <c r="I54" s="24" t="str">
        <f t="shared" si="9"/>
        <v/>
      </c>
      <c r="J54" s="24"/>
      <c r="K54" s="25" t="str">
        <f t="shared" si="1"/>
        <v/>
      </c>
      <c r="L54" s="25" t="str">
        <f t="shared" si="2"/>
        <v/>
      </c>
    </row>
    <row r="55" spans="2:12" x14ac:dyDescent="0.3">
      <c r="B55" s="17">
        <v>43</v>
      </c>
      <c r="C55" s="19" t="str">
        <f t="shared" si="3"/>
        <v/>
      </c>
      <c r="D55" s="19" t="str">
        <f t="shared" si="4"/>
        <v/>
      </c>
      <c r="E55" s="19" t="str">
        <f t="shared" si="5"/>
        <v/>
      </c>
      <c r="F55" s="19" t="str">
        <f t="shared" si="6"/>
        <v/>
      </c>
      <c r="G55" s="22" t="str">
        <f t="shared" si="7"/>
        <v/>
      </c>
      <c r="H55" s="23" t="str">
        <f t="shared" si="8"/>
        <v/>
      </c>
      <c r="I55" s="24" t="str">
        <f t="shared" si="9"/>
        <v/>
      </c>
      <c r="J55" s="24"/>
      <c r="K55" s="25" t="str">
        <f t="shared" si="1"/>
        <v/>
      </c>
      <c r="L55" s="25" t="str">
        <f t="shared" si="2"/>
        <v/>
      </c>
    </row>
    <row r="56" spans="2:12" x14ac:dyDescent="0.3">
      <c r="B56" s="26">
        <v>44</v>
      </c>
      <c r="C56" s="27" t="str">
        <f t="shared" si="3"/>
        <v/>
      </c>
      <c r="D56" s="27" t="str">
        <f t="shared" si="4"/>
        <v/>
      </c>
      <c r="E56" s="27" t="str">
        <f t="shared" si="5"/>
        <v/>
      </c>
      <c r="F56" s="27" t="str">
        <f t="shared" si="6"/>
        <v/>
      </c>
      <c r="G56" s="22" t="str">
        <f t="shared" si="7"/>
        <v/>
      </c>
      <c r="H56" s="23" t="str">
        <f t="shared" si="8"/>
        <v/>
      </c>
      <c r="I56" s="24" t="str">
        <f t="shared" si="9"/>
        <v/>
      </c>
      <c r="J56" s="24"/>
      <c r="K56" s="25" t="str">
        <f t="shared" si="1"/>
        <v/>
      </c>
      <c r="L56" s="25" t="str">
        <f t="shared" si="2"/>
        <v/>
      </c>
    </row>
    <row r="57" spans="2:12" x14ac:dyDescent="0.3">
      <c r="B57" s="17">
        <v>45</v>
      </c>
      <c r="C57" s="19" t="str">
        <f t="shared" si="3"/>
        <v/>
      </c>
      <c r="D57" s="19" t="str">
        <f t="shared" si="4"/>
        <v/>
      </c>
      <c r="E57" s="19" t="str">
        <f t="shared" si="5"/>
        <v/>
      </c>
      <c r="F57" s="19" t="str">
        <f t="shared" si="6"/>
        <v/>
      </c>
      <c r="G57" s="22" t="str">
        <f t="shared" si="7"/>
        <v/>
      </c>
      <c r="H57" s="23" t="str">
        <f t="shared" si="8"/>
        <v/>
      </c>
      <c r="I57" s="24" t="str">
        <f t="shared" si="9"/>
        <v/>
      </c>
      <c r="J57" s="24"/>
      <c r="K57" s="25" t="str">
        <f t="shared" si="1"/>
        <v/>
      </c>
      <c r="L57" s="25" t="str">
        <f t="shared" si="2"/>
        <v/>
      </c>
    </row>
    <row r="58" spans="2:12" x14ac:dyDescent="0.3">
      <c r="B58" s="26">
        <v>46</v>
      </c>
      <c r="C58" s="27" t="str">
        <f t="shared" si="3"/>
        <v/>
      </c>
      <c r="D58" s="27" t="str">
        <f t="shared" si="4"/>
        <v/>
      </c>
      <c r="E58" s="27" t="str">
        <f t="shared" si="5"/>
        <v/>
      </c>
      <c r="F58" s="27" t="str">
        <f t="shared" si="6"/>
        <v/>
      </c>
      <c r="G58" s="22" t="str">
        <f t="shared" si="7"/>
        <v/>
      </c>
      <c r="H58" s="23" t="str">
        <f t="shared" si="8"/>
        <v/>
      </c>
      <c r="I58" s="24" t="str">
        <f t="shared" si="9"/>
        <v/>
      </c>
      <c r="J58" s="24"/>
      <c r="K58" s="25" t="str">
        <f t="shared" si="1"/>
        <v/>
      </c>
      <c r="L58" s="25" t="str">
        <f t="shared" si="2"/>
        <v/>
      </c>
    </row>
    <row r="59" spans="2:12" x14ac:dyDescent="0.3">
      <c r="B59" s="17">
        <v>47</v>
      </c>
      <c r="C59" s="19" t="str">
        <f t="shared" si="3"/>
        <v/>
      </c>
      <c r="D59" s="19" t="str">
        <f t="shared" si="4"/>
        <v/>
      </c>
      <c r="E59" s="19" t="str">
        <f t="shared" si="5"/>
        <v/>
      </c>
      <c r="F59" s="19" t="str">
        <f t="shared" si="6"/>
        <v/>
      </c>
      <c r="G59" s="22" t="str">
        <f t="shared" si="7"/>
        <v/>
      </c>
      <c r="H59" s="23" t="str">
        <f t="shared" si="8"/>
        <v/>
      </c>
      <c r="I59" s="24" t="str">
        <f t="shared" si="9"/>
        <v/>
      </c>
      <c r="J59" s="24"/>
      <c r="K59" s="25" t="str">
        <f t="shared" si="1"/>
        <v/>
      </c>
      <c r="L59" s="25" t="str">
        <f t="shared" si="2"/>
        <v/>
      </c>
    </row>
    <row r="60" spans="2:12" x14ac:dyDescent="0.3">
      <c r="B60" s="26">
        <v>48</v>
      </c>
      <c r="C60" s="27" t="str">
        <f t="shared" si="3"/>
        <v/>
      </c>
      <c r="D60" s="27" t="str">
        <f t="shared" si="4"/>
        <v/>
      </c>
      <c r="E60" s="27" t="str">
        <f t="shared" si="5"/>
        <v/>
      </c>
      <c r="F60" s="27" t="str">
        <f t="shared" si="6"/>
        <v/>
      </c>
      <c r="G60" s="22" t="str">
        <f t="shared" si="7"/>
        <v/>
      </c>
      <c r="H60" s="23" t="str">
        <f t="shared" si="8"/>
        <v/>
      </c>
      <c r="I60" s="24" t="str">
        <f t="shared" si="9"/>
        <v/>
      </c>
      <c r="J60" s="24"/>
      <c r="K60" s="25" t="str">
        <f t="shared" si="1"/>
        <v/>
      </c>
      <c r="L60" s="25" t="str">
        <f t="shared" si="2"/>
        <v/>
      </c>
    </row>
    <row r="61" spans="2:12" x14ac:dyDescent="0.3">
      <c r="B61" s="17">
        <v>49</v>
      </c>
      <c r="C61" s="19" t="str">
        <f t="shared" si="3"/>
        <v/>
      </c>
      <c r="D61" s="19" t="str">
        <f t="shared" si="4"/>
        <v/>
      </c>
      <c r="E61" s="19" t="str">
        <f t="shared" si="5"/>
        <v/>
      </c>
      <c r="F61" s="19" t="str">
        <f t="shared" si="6"/>
        <v/>
      </c>
      <c r="G61" s="22" t="str">
        <f t="shared" si="7"/>
        <v/>
      </c>
      <c r="H61" s="23" t="str">
        <f t="shared" si="8"/>
        <v/>
      </c>
      <c r="I61" s="24" t="str">
        <f t="shared" si="9"/>
        <v/>
      </c>
      <c r="J61" s="24"/>
      <c r="K61" s="25" t="str">
        <f t="shared" si="1"/>
        <v/>
      </c>
      <c r="L61" s="25" t="str">
        <f t="shared" si="2"/>
        <v/>
      </c>
    </row>
    <row r="62" spans="2:12" x14ac:dyDescent="0.3">
      <c r="B62" s="26">
        <v>50</v>
      </c>
      <c r="C62" s="27" t="str">
        <f t="shared" si="3"/>
        <v/>
      </c>
      <c r="D62" s="27" t="str">
        <f t="shared" si="4"/>
        <v/>
      </c>
      <c r="E62" s="27" t="str">
        <f t="shared" si="5"/>
        <v/>
      </c>
      <c r="F62" s="27" t="str">
        <f t="shared" si="6"/>
        <v/>
      </c>
      <c r="G62" s="22" t="str">
        <f t="shared" si="7"/>
        <v/>
      </c>
      <c r="H62" s="23" t="str">
        <f t="shared" si="8"/>
        <v/>
      </c>
      <c r="I62" s="24" t="str">
        <f t="shared" si="9"/>
        <v/>
      </c>
      <c r="J62" s="24"/>
      <c r="K62" s="25" t="str">
        <f t="shared" si="1"/>
        <v/>
      </c>
      <c r="L62" s="25" t="str">
        <f t="shared" si="2"/>
        <v/>
      </c>
    </row>
    <row r="63" spans="2:12" x14ac:dyDescent="0.3">
      <c r="B63" s="17">
        <v>51</v>
      </c>
      <c r="C63" s="19" t="str">
        <f t="shared" si="3"/>
        <v/>
      </c>
      <c r="D63" s="19" t="str">
        <f t="shared" si="4"/>
        <v/>
      </c>
      <c r="E63" s="19" t="str">
        <f t="shared" si="5"/>
        <v/>
      </c>
      <c r="F63" s="19" t="str">
        <f t="shared" si="6"/>
        <v/>
      </c>
      <c r="G63" s="22" t="str">
        <f t="shared" si="7"/>
        <v/>
      </c>
      <c r="H63" s="23" t="str">
        <f t="shared" si="8"/>
        <v/>
      </c>
      <c r="I63" s="24" t="str">
        <f t="shared" si="9"/>
        <v/>
      </c>
      <c r="J63" s="24"/>
      <c r="K63" s="25" t="str">
        <f t="shared" si="1"/>
        <v/>
      </c>
      <c r="L63" s="25" t="str">
        <f t="shared" si="2"/>
        <v/>
      </c>
    </row>
    <row r="64" spans="2:12" x14ac:dyDescent="0.3">
      <c r="B64" s="26">
        <v>52</v>
      </c>
      <c r="C64" s="27" t="str">
        <f t="shared" si="3"/>
        <v/>
      </c>
      <c r="D64" s="27" t="str">
        <f t="shared" si="4"/>
        <v/>
      </c>
      <c r="E64" s="27" t="str">
        <f t="shared" si="5"/>
        <v/>
      </c>
      <c r="F64" s="27" t="str">
        <f t="shared" si="6"/>
        <v/>
      </c>
      <c r="G64" s="22" t="str">
        <f t="shared" si="7"/>
        <v/>
      </c>
      <c r="H64" s="23" t="str">
        <f t="shared" si="8"/>
        <v/>
      </c>
      <c r="I64" s="24" t="str">
        <f t="shared" si="9"/>
        <v/>
      </c>
      <c r="J64" s="24"/>
      <c r="K64" s="25" t="str">
        <f t="shared" si="1"/>
        <v/>
      </c>
      <c r="L64" s="25" t="str">
        <f t="shared" si="2"/>
        <v/>
      </c>
    </row>
    <row r="65" spans="2:12" x14ac:dyDescent="0.3">
      <c r="B65" s="17">
        <v>53</v>
      </c>
      <c r="C65" s="19" t="str">
        <f t="shared" si="3"/>
        <v/>
      </c>
      <c r="D65" s="19" t="str">
        <f t="shared" si="4"/>
        <v/>
      </c>
      <c r="E65" s="19" t="str">
        <f t="shared" si="5"/>
        <v/>
      </c>
      <c r="F65" s="19" t="str">
        <f t="shared" si="6"/>
        <v/>
      </c>
      <c r="G65" s="22" t="str">
        <f t="shared" si="7"/>
        <v/>
      </c>
      <c r="H65" s="23" t="str">
        <f t="shared" si="8"/>
        <v/>
      </c>
      <c r="I65" s="24" t="str">
        <f t="shared" si="9"/>
        <v/>
      </c>
      <c r="J65" s="24"/>
      <c r="K65" s="25" t="str">
        <f t="shared" si="1"/>
        <v/>
      </c>
      <c r="L65" s="25" t="str">
        <f t="shared" si="2"/>
        <v/>
      </c>
    </row>
    <row r="66" spans="2:12" x14ac:dyDescent="0.3">
      <c r="B66" s="26">
        <v>54</v>
      </c>
      <c r="C66" s="27" t="str">
        <f t="shared" si="3"/>
        <v/>
      </c>
      <c r="D66" s="27" t="str">
        <f t="shared" si="4"/>
        <v/>
      </c>
      <c r="E66" s="27" t="str">
        <f t="shared" si="5"/>
        <v/>
      </c>
      <c r="F66" s="27" t="str">
        <f t="shared" si="6"/>
        <v/>
      </c>
      <c r="G66" s="22" t="str">
        <f t="shared" si="7"/>
        <v/>
      </c>
      <c r="H66" s="23" t="str">
        <f t="shared" si="8"/>
        <v/>
      </c>
      <c r="I66" s="24" t="str">
        <f t="shared" si="9"/>
        <v/>
      </c>
      <c r="J66" s="24"/>
      <c r="K66" s="25" t="str">
        <f t="shared" si="1"/>
        <v/>
      </c>
      <c r="L66" s="25" t="str">
        <f t="shared" si="2"/>
        <v/>
      </c>
    </row>
    <row r="67" spans="2:12" x14ac:dyDescent="0.3">
      <c r="B67" s="17">
        <v>55</v>
      </c>
      <c r="C67" s="19" t="str">
        <f t="shared" si="3"/>
        <v/>
      </c>
      <c r="D67" s="19" t="str">
        <f t="shared" si="4"/>
        <v/>
      </c>
      <c r="E67" s="19" t="str">
        <f t="shared" si="5"/>
        <v/>
      </c>
      <c r="F67" s="19" t="str">
        <f t="shared" si="6"/>
        <v/>
      </c>
      <c r="G67" s="22" t="str">
        <f t="shared" si="7"/>
        <v/>
      </c>
      <c r="H67" s="23" t="str">
        <f t="shared" si="8"/>
        <v/>
      </c>
      <c r="I67" s="24" t="str">
        <f t="shared" si="9"/>
        <v/>
      </c>
      <c r="J67" s="24"/>
      <c r="K67" s="25" t="str">
        <f t="shared" si="1"/>
        <v/>
      </c>
      <c r="L67" s="25" t="str">
        <f t="shared" si="2"/>
        <v/>
      </c>
    </row>
    <row r="68" spans="2:12" x14ac:dyDescent="0.3">
      <c r="B68" s="26">
        <v>56</v>
      </c>
      <c r="C68" s="27" t="str">
        <f t="shared" si="3"/>
        <v/>
      </c>
      <c r="D68" s="27" t="str">
        <f t="shared" si="4"/>
        <v/>
      </c>
      <c r="E68" s="27" t="str">
        <f t="shared" si="5"/>
        <v/>
      </c>
      <c r="F68" s="27" t="str">
        <f t="shared" si="6"/>
        <v/>
      </c>
      <c r="G68" s="22" t="str">
        <f t="shared" si="7"/>
        <v/>
      </c>
      <c r="H68" s="23" t="str">
        <f t="shared" si="8"/>
        <v/>
      </c>
      <c r="I68" s="24" t="str">
        <f t="shared" si="9"/>
        <v/>
      </c>
      <c r="J68" s="24"/>
      <c r="K68" s="25" t="str">
        <f t="shared" si="1"/>
        <v/>
      </c>
      <c r="L68" s="25" t="str">
        <f t="shared" si="2"/>
        <v/>
      </c>
    </row>
    <row r="69" spans="2:12" x14ac:dyDescent="0.3">
      <c r="B69" s="17">
        <v>57</v>
      </c>
      <c r="C69" s="19" t="str">
        <f t="shared" si="3"/>
        <v/>
      </c>
      <c r="D69" s="19" t="str">
        <f t="shared" si="4"/>
        <v/>
      </c>
      <c r="E69" s="19" t="str">
        <f t="shared" si="5"/>
        <v/>
      </c>
      <c r="F69" s="19" t="str">
        <f t="shared" si="6"/>
        <v/>
      </c>
      <c r="G69" s="22" t="str">
        <f t="shared" si="7"/>
        <v/>
      </c>
      <c r="H69" s="23" t="str">
        <f t="shared" si="8"/>
        <v/>
      </c>
      <c r="I69" s="24" t="str">
        <f t="shared" si="9"/>
        <v/>
      </c>
      <c r="J69" s="24"/>
      <c r="K69" s="25" t="str">
        <f t="shared" si="1"/>
        <v/>
      </c>
      <c r="L69" s="25" t="str">
        <f t="shared" si="2"/>
        <v/>
      </c>
    </row>
    <row r="70" spans="2:12" x14ac:dyDescent="0.3">
      <c r="B70" s="26">
        <v>58</v>
      </c>
      <c r="C70" s="27" t="str">
        <f t="shared" si="3"/>
        <v/>
      </c>
      <c r="D70" s="27" t="str">
        <f t="shared" si="4"/>
        <v/>
      </c>
      <c r="E70" s="27" t="str">
        <f t="shared" si="5"/>
        <v/>
      </c>
      <c r="F70" s="27" t="str">
        <f t="shared" si="6"/>
        <v/>
      </c>
      <c r="G70" s="22" t="str">
        <f t="shared" si="7"/>
        <v/>
      </c>
      <c r="H70" s="23" t="str">
        <f t="shared" si="8"/>
        <v/>
      </c>
      <c r="I70" s="24" t="str">
        <f t="shared" si="9"/>
        <v/>
      </c>
      <c r="J70" s="24"/>
      <c r="K70" s="25" t="str">
        <f t="shared" si="1"/>
        <v/>
      </c>
      <c r="L70" s="25" t="str">
        <f t="shared" si="2"/>
        <v/>
      </c>
    </row>
    <row r="71" spans="2:12" x14ac:dyDescent="0.3">
      <c r="B71" s="17">
        <v>59</v>
      </c>
      <c r="C71" s="19" t="str">
        <f t="shared" si="3"/>
        <v/>
      </c>
      <c r="D71" s="19" t="str">
        <f t="shared" si="4"/>
        <v/>
      </c>
      <c r="E71" s="19" t="str">
        <f t="shared" si="5"/>
        <v/>
      </c>
      <c r="F71" s="19" t="str">
        <f t="shared" si="6"/>
        <v/>
      </c>
      <c r="G71" s="22" t="str">
        <f t="shared" si="7"/>
        <v/>
      </c>
      <c r="H71" s="23" t="str">
        <f t="shared" si="8"/>
        <v/>
      </c>
      <c r="I71" s="24" t="str">
        <f t="shared" si="9"/>
        <v/>
      </c>
      <c r="J71" s="24"/>
      <c r="K71" s="25" t="str">
        <f t="shared" si="1"/>
        <v/>
      </c>
      <c r="L71" s="25" t="str">
        <f t="shared" si="2"/>
        <v/>
      </c>
    </row>
    <row r="72" spans="2:12" x14ac:dyDescent="0.3">
      <c r="B72" s="26">
        <v>60</v>
      </c>
      <c r="C72" s="27" t="str">
        <f t="shared" si="3"/>
        <v/>
      </c>
      <c r="D72" s="27" t="str">
        <f t="shared" si="4"/>
        <v/>
      </c>
      <c r="E72" s="27" t="str">
        <f t="shared" si="5"/>
        <v/>
      </c>
      <c r="F72" s="27" t="str">
        <f t="shared" si="6"/>
        <v/>
      </c>
      <c r="G72" s="22" t="str">
        <f t="shared" si="7"/>
        <v/>
      </c>
      <c r="H72" s="23" t="str">
        <f t="shared" si="8"/>
        <v/>
      </c>
      <c r="I72" s="24" t="str">
        <f t="shared" si="9"/>
        <v/>
      </c>
      <c r="J72" s="24"/>
      <c r="K72" s="25" t="str">
        <f t="shared" si="1"/>
        <v/>
      </c>
      <c r="L72" s="25" t="str">
        <f t="shared" si="2"/>
        <v/>
      </c>
    </row>
    <row r="73" spans="2:12" x14ac:dyDescent="0.3">
      <c r="B73" s="17">
        <v>61</v>
      </c>
      <c r="C73" s="19" t="str">
        <f t="shared" si="3"/>
        <v/>
      </c>
      <c r="D73" s="19" t="str">
        <f t="shared" si="4"/>
        <v/>
      </c>
      <c r="E73" s="19" t="str">
        <f t="shared" si="5"/>
        <v/>
      </c>
      <c r="F73" s="19" t="str">
        <f t="shared" si="6"/>
        <v/>
      </c>
      <c r="G73" s="22" t="str">
        <f t="shared" si="7"/>
        <v/>
      </c>
      <c r="H73" s="23" t="str">
        <f t="shared" si="8"/>
        <v/>
      </c>
      <c r="I73" s="24" t="str">
        <f t="shared" si="9"/>
        <v/>
      </c>
      <c r="J73" s="24"/>
      <c r="K73" s="25" t="str">
        <f t="shared" si="1"/>
        <v/>
      </c>
      <c r="L73" s="25" t="str">
        <f t="shared" si="2"/>
        <v/>
      </c>
    </row>
    <row r="74" spans="2:12" x14ac:dyDescent="0.3">
      <c r="B74" s="26">
        <v>62</v>
      </c>
      <c r="C74" s="27" t="str">
        <f t="shared" si="3"/>
        <v/>
      </c>
      <c r="D74" s="27" t="str">
        <f t="shared" si="4"/>
        <v/>
      </c>
      <c r="E74" s="27" t="str">
        <f t="shared" si="5"/>
        <v/>
      </c>
      <c r="F74" s="27" t="str">
        <f t="shared" si="6"/>
        <v/>
      </c>
      <c r="G74" s="22" t="str">
        <f t="shared" si="7"/>
        <v/>
      </c>
      <c r="H74" s="23" t="str">
        <f t="shared" si="8"/>
        <v/>
      </c>
      <c r="I74" s="24" t="str">
        <f t="shared" si="9"/>
        <v/>
      </c>
      <c r="J74" s="24"/>
      <c r="K74" s="25" t="str">
        <f t="shared" si="1"/>
        <v/>
      </c>
      <c r="L74" s="25" t="str">
        <f t="shared" si="2"/>
        <v/>
      </c>
    </row>
    <row r="75" spans="2:12" x14ac:dyDescent="0.3">
      <c r="B75" s="17">
        <v>63</v>
      </c>
      <c r="C75" s="19" t="str">
        <f t="shared" si="3"/>
        <v/>
      </c>
      <c r="D75" s="19" t="str">
        <f t="shared" si="4"/>
        <v/>
      </c>
      <c r="E75" s="19" t="str">
        <f t="shared" si="5"/>
        <v/>
      </c>
      <c r="F75" s="19" t="str">
        <f t="shared" si="6"/>
        <v/>
      </c>
      <c r="G75" s="22" t="str">
        <f t="shared" si="7"/>
        <v/>
      </c>
      <c r="H75" s="23" t="str">
        <f t="shared" si="8"/>
        <v/>
      </c>
      <c r="I75" s="24" t="str">
        <f t="shared" si="9"/>
        <v/>
      </c>
      <c r="J75" s="24"/>
      <c r="K75" s="25" t="str">
        <f t="shared" si="1"/>
        <v/>
      </c>
      <c r="L75" s="25" t="str">
        <f t="shared" si="2"/>
        <v/>
      </c>
    </row>
    <row r="76" spans="2:12" x14ac:dyDescent="0.3">
      <c r="B76" s="26">
        <v>64</v>
      </c>
      <c r="C76" s="27" t="str">
        <f t="shared" si="3"/>
        <v/>
      </c>
      <c r="D76" s="27" t="str">
        <f t="shared" si="4"/>
        <v/>
      </c>
      <c r="E76" s="27" t="str">
        <f t="shared" si="5"/>
        <v/>
      </c>
      <c r="F76" s="27" t="str">
        <f t="shared" si="6"/>
        <v/>
      </c>
      <c r="G76" s="22" t="str">
        <f t="shared" si="7"/>
        <v/>
      </c>
      <c r="H76" s="23" t="str">
        <f t="shared" si="8"/>
        <v/>
      </c>
      <c r="I76" s="24" t="str">
        <f t="shared" si="9"/>
        <v/>
      </c>
      <c r="J76" s="24"/>
      <c r="K76" s="25" t="str">
        <f t="shared" si="1"/>
        <v/>
      </c>
      <c r="L76" s="25" t="str">
        <f t="shared" si="2"/>
        <v/>
      </c>
    </row>
    <row r="77" spans="2:12" x14ac:dyDescent="0.3">
      <c r="B77" s="17">
        <v>65</v>
      </c>
      <c r="C77" s="19" t="str">
        <f t="shared" si="3"/>
        <v/>
      </c>
      <c r="D77" s="19" t="str">
        <f t="shared" si="4"/>
        <v/>
      </c>
      <c r="E77" s="19" t="str">
        <f t="shared" si="5"/>
        <v/>
      </c>
      <c r="F77" s="19" t="str">
        <f t="shared" si="6"/>
        <v/>
      </c>
      <c r="G77" s="22" t="str">
        <f t="shared" si="7"/>
        <v/>
      </c>
      <c r="H77" s="23" t="str">
        <f t="shared" si="8"/>
        <v/>
      </c>
      <c r="I77" s="24" t="str">
        <f t="shared" si="9"/>
        <v/>
      </c>
      <c r="J77" s="24"/>
      <c r="K77" s="25" t="str">
        <f t="shared" ref="K77:K132" si="11">IFERROR(ROUND((EOMONTH(I77,-1)+1-EOMONTH(J77,-1)+1)/30,0),"")</f>
        <v/>
      </c>
      <c r="L77" s="25" t="str">
        <f t="shared" ref="L77:L132" si="12">IFERROR(IF(G77="","",$F$5/(1+$C$6)^$K77),"")</f>
        <v/>
      </c>
    </row>
    <row r="78" spans="2:12" x14ac:dyDescent="0.3">
      <c r="B78" s="26">
        <v>66</v>
      </c>
      <c r="C78" s="27" t="str">
        <f t="shared" ref="C78:C132" si="13">IF($B78&lt;=$C$7,$F$5,"")</f>
        <v/>
      </c>
      <c r="D78" s="27" t="str">
        <f t="shared" ref="D78:D132" si="14">IF($B78&lt;=$C$7,F77*$C$6,"")</f>
        <v/>
      </c>
      <c r="E78" s="27" t="str">
        <f t="shared" ref="E78:E132" si="15">IF($B78&lt;=$C$7,C78-D78,"")</f>
        <v/>
      </c>
      <c r="F78" s="27" t="str">
        <f t="shared" ref="F78:F132" si="16">IF($B78&lt;=$C$7,MAX(0,F77-E78),"")</f>
        <v/>
      </c>
      <c r="G78" s="22" t="str">
        <f t="shared" ref="G78:G132" si="17">IF($B78&lt;=$C$7,C78/((1+$C$6*(($F$8-$C$8)/30))*(1+$C$6)^($B78-1)),"")</f>
        <v/>
      </c>
      <c r="H78" s="23" t="str">
        <f t="shared" ref="H78:H132" si="18">IF($B78&lt;=$C$7,C78-G78,"")</f>
        <v/>
      </c>
      <c r="I78" s="24" t="str">
        <f t="shared" ref="I78:I132" si="19">IF($B78&lt;=$C$7,EDATE($F$8,$B78-1),"")</f>
        <v/>
      </c>
      <c r="J78" s="24"/>
      <c r="K78" s="25" t="str">
        <f t="shared" si="11"/>
        <v/>
      </c>
      <c r="L78" s="25" t="str">
        <f t="shared" si="12"/>
        <v/>
      </c>
    </row>
    <row r="79" spans="2:12" x14ac:dyDescent="0.3">
      <c r="B79" s="17">
        <v>67</v>
      </c>
      <c r="C79" s="19" t="str">
        <f t="shared" si="13"/>
        <v/>
      </c>
      <c r="D79" s="19" t="str">
        <f t="shared" si="14"/>
        <v/>
      </c>
      <c r="E79" s="19" t="str">
        <f t="shared" si="15"/>
        <v/>
      </c>
      <c r="F79" s="19" t="str">
        <f t="shared" si="16"/>
        <v/>
      </c>
      <c r="G79" s="22" t="str">
        <f t="shared" si="17"/>
        <v/>
      </c>
      <c r="H79" s="23" t="str">
        <f t="shared" si="18"/>
        <v/>
      </c>
      <c r="I79" s="24" t="str">
        <f t="shared" si="19"/>
        <v/>
      </c>
      <c r="J79" s="24"/>
      <c r="K79" s="25" t="str">
        <f t="shared" si="11"/>
        <v/>
      </c>
      <c r="L79" s="25" t="str">
        <f t="shared" si="12"/>
        <v/>
      </c>
    </row>
    <row r="80" spans="2:12" x14ac:dyDescent="0.3">
      <c r="B80" s="26">
        <v>68</v>
      </c>
      <c r="C80" s="27" t="str">
        <f t="shared" si="13"/>
        <v/>
      </c>
      <c r="D80" s="27" t="str">
        <f t="shared" si="14"/>
        <v/>
      </c>
      <c r="E80" s="27" t="str">
        <f t="shared" si="15"/>
        <v/>
      </c>
      <c r="F80" s="27" t="str">
        <f t="shared" si="16"/>
        <v/>
      </c>
      <c r="G80" s="22" t="str">
        <f t="shared" si="17"/>
        <v/>
      </c>
      <c r="H80" s="23" t="str">
        <f t="shared" si="18"/>
        <v/>
      </c>
      <c r="I80" s="24" t="str">
        <f t="shared" si="19"/>
        <v/>
      </c>
      <c r="J80" s="24"/>
      <c r="K80" s="25" t="str">
        <f t="shared" si="11"/>
        <v/>
      </c>
      <c r="L80" s="25" t="str">
        <f t="shared" si="12"/>
        <v/>
      </c>
    </row>
    <row r="81" spans="2:12" x14ac:dyDescent="0.3">
      <c r="B81" s="17">
        <v>69</v>
      </c>
      <c r="C81" s="19" t="str">
        <f t="shared" si="13"/>
        <v/>
      </c>
      <c r="D81" s="19" t="str">
        <f t="shared" si="14"/>
        <v/>
      </c>
      <c r="E81" s="19" t="str">
        <f t="shared" si="15"/>
        <v/>
      </c>
      <c r="F81" s="19" t="str">
        <f t="shared" si="16"/>
        <v/>
      </c>
      <c r="G81" s="22" t="str">
        <f t="shared" si="17"/>
        <v/>
      </c>
      <c r="H81" s="23" t="str">
        <f t="shared" si="18"/>
        <v/>
      </c>
      <c r="I81" s="24" t="str">
        <f t="shared" si="19"/>
        <v/>
      </c>
      <c r="J81" s="24"/>
      <c r="K81" s="25" t="str">
        <f t="shared" si="11"/>
        <v/>
      </c>
      <c r="L81" s="25" t="str">
        <f t="shared" si="12"/>
        <v/>
      </c>
    </row>
    <row r="82" spans="2:12" x14ac:dyDescent="0.3">
      <c r="B82" s="26">
        <v>70</v>
      </c>
      <c r="C82" s="27" t="str">
        <f t="shared" si="13"/>
        <v/>
      </c>
      <c r="D82" s="27" t="str">
        <f t="shared" si="14"/>
        <v/>
      </c>
      <c r="E82" s="27" t="str">
        <f t="shared" si="15"/>
        <v/>
      </c>
      <c r="F82" s="27" t="str">
        <f t="shared" si="16"/>
        <v/>
      </c>
      <c r="G82" s="22" t="str">
        <f t="shared" si="17"/>
        <v/>
      </c>
      <c r="H82" s="23" t="str">
        <f t="shared" si="18"/>
        <v/>
      </c>
      <c r="I82" s="24" t="str">
        <f t="shared" si="19"/>
        <v/>
      </c>
      <c r="J82" s="24"/>
      <c r="K82" s="25" t="str">
        <f t="shared" si="11"/>
        <v/>
      </c>
      <c r="L82" s="25" t="str">
        <f t="shared" si="12"/>
        <v/>
      </c>
    </row>
    <row r="83" spans="2:12" x14ac:dyDescent="0.3">
      <c r="B83" s="17">
        <v>71</v>
      </c>
      <c r="C83" s="19" t="str">
        <f t="shared" si="13"/>
        <v/>
      </c>
      <c r="D83" s="19" t="str">
        <f t="shared" si="14"/>
        <v/>
      </c>
      <c r="E83" s="19" t="str">
        <f t="shared" si="15"/>
        <v/>
      </c>
      <c r="F83" s="19" t="str">
        <f t="shared" si="16"/>
        <v/>
      </c>
      <c r="G83" s="22" t="str">
        <f t="shared" si="17"/>
        <v/>
      </c>
      <c r="H83" s="23" t="str">
        <f t="shared" si="18"/>
        <v/>
      </c>
      <c r="I83" s="24" t="str">
        <f t="shared" si="19"/>
        <v/>
      </c>
      <c r="J83" s="24"/>
      <c r="K83" s="25" t="str">
        <f t="shared" si="11"/>
        <v/>
      </c>
      <c r="L83" s="25" t="str">
        <f t="shared" si="12"/>
        <v/>
      </c>
    </row>
    <row r="84" spans="2:12" x14ac:dyDescent="0.3">
      <c r="B84" s="26">
        <v>72</v>
      </c>
      <c r="C84" s="27" t="str">
        <f t="shared" si="13"/>
        <v/>
      </c>
      <c r="D84" s="27" t="str">
        <f t="shared" si="14"/>
        <v/>
      </c>
      <c r="E84" s="27" t="str">
        <f t="shared" si="15"/>
        <v/>
      </c>
      <c r="F84" s="27" t="str">
        <f t="shared" si="16"/>
        <v/>
      </c>
      <c r="G84" s="22" t="str">
        <f t="shared" si="17"/>
        <v/>
      </c>
      <c r="H84" s="23" t="str">
        <f t="shared" si="18"/>
        <v/>
      </c>
      <c r="I84" s="24" t="str">
        <f t="shared" si="19"/>
        <v/>
      </c>
      <c r="J84" s="24"/>
      <c r="K84" s="25" t="str">
        <f t="shared" si="11"/>
        <v/>
      </c>
      <c r="L84" s="25" t="str">
        <f t="shared" si="12"/>
        <v/>
      </c>
    </row>
    <row r="85" spans="2:12" x14ac:dyDescent="0.3">
      <c r="B85" s="17">
        <v>73</v>
      </c>
      <c r="C85" s="19" t="str">
        <f t="shared" si="13"/>
        <v/>
      </c>
      <c r="D85" s="19" t="str">
        <f t="shared" si="14"/>
        <v/>
      </c>
      <c r="E85" s="19" t="str">
        <f t="shared" si="15"/>
        <v/>
      </c>
      <c r="F85" s="19" t="str">
        <f t="shared" si="16"/>
        <v/>
      </c>
      <c r="G85" s="22" t="str">
        <f t="shared" si="17"/>
        <v/>
      </c>
      <c r="H85" s="23" t="str">
        <f t="shared" si="18"/>
        <v/>
      </c>
      <c r="I85" s="24" t="str">
        <f t="shared" si="19"/>
        <v/>
      </c>
      <c r="J85" s="24"/>
      <c r="K85" s="25" t="str">
        <f t="shared" si="11"/>
        <v/>
      </c>
      <c r="L85" s="25" t="str">
        <f t="shared" si="12"/>
        <v/>
      </c>
    </row>
    <row r="86" spans="2:12" x14ac:dyDescent="0.3">
      <c r="B86" s="26">
        <v>74</v>
      </c>
      <c r="C86" s="27" t="str">
        <f t="shared" si="13"/>
        <v/>
      </c>
      <c r="D86" s="27" t="str">
        <f t="shared" si="14"/>
        <v/>
      </c>
      <c r="E86" s="27" t="str">
        <f t="shared" si="15"/>
        <v/>
      </c>
      <c r="F86" s="27" t="str">
        <f t="shared" si="16"/>
        <v/>
      </c>
      <c r="G86" s="22" t="str">
        <f t="shared" si="17"/>
        <v/>
      </c>
      <c r="H86" s="23" t="str">
        <f t="shared" si="18"/>
        <v/>
      </c>
      <c r="I86" s="24" t="str">
        <f t="shared" si="19"/>
        <v/>
      </c>
      <c r="J86" s="24"/>
      <c r="K86" s="25" t="str">
        <f t="shared" si="11"/>
        <v/>
      </c>
      <c r="L86" s="25" t="str">
        <f t="shared" si="12"/>
        <v/>
      </c>
    </row>
    <row r="87" spans="2:12" x14ac:dyDescent="0.3">
      <c r="B87" s="17">
        <v>75</v>
      </c>
      <c r="C87" s="19" t="str">
        <f t="shared" si="13"/>
        <v/>
      </c>
      <c r="D87" s="19" t="str">
        <f t="shared" si="14"/>
        <v/>
      </c>
      <c r="E87" s="19" t="str">
        <f t="shared" si="15"/>
        <v/>
      </c>
      <c r="F87" s="19" t="str">
        <f t="shared" si="16"/>
        <v/>
      </c>
      <c r="G87" s="22" t="str">
        <f t="shared" si="17"/>
        <v/>
      </c>
      <c r="H87" s="23" t="str">
        <f t="shared" si="18"/>
        <v/>
      </c>
      <c r="I87" s="24" t="str">
        <f t="shared" si="19"/>
        <v/>
      </c>
      <c r="J87" s="24"/>
      <c r="K87" s="25" t="str">
        <f t="shared" si="11"/>
        <v/>
      </c>
      <c r="L87" s="25" t="str">
        <f t="shared" si="12"/>
        <v/>
      </c>
    </row>
    <row r="88" spans="2:12" x14ac:dyDescent="0.3">
      <c r="B88" s="26">
        <v>76</v>
      </c>
      <c r="C88" s="27" t="str">
        <f t="shared" si="13"/>
        <v/>
      </c>
      <c r="D88" s="27" t="str">
        <f t="shared" si="14"/>
        <v/>
      </c>
      <c r="E88" s="27" t="str">
        <f t="shared" si="15"/>
        <v/>
      </c>
      <c r="F88" s="27" t="str">
        <f t="shared" si="16"/>
        <v/>
      </c>
      <c r="G88" s="22" t="str">
        <f t="shared" si="17"/>
        <v/>
      </c>
      <c r="H88" s="23" t="str">
        <f t="shared" si="18"/>
        <v/>
      </c>
      <c r="I88" s="24" t="str">
        <f t="shared" si="19"/>
        <v/>
      </c>
      <c r="J88" s="24"/>
      <c r="K88" s="25" t="str">
        <f t="shared" si="11"/>
        <v/>
      </c>
      <c r="L88" s="25" t="str">
        <f t="shared" si="12"/>
        <v/>
      </c>
    </row>
    <row r="89" spans="2:12" x14ac:dyDescent="0.3">
      <c r="B89" s="17">
        <v>77</v>
      </c>
      <c r="C89" s="19" t="str">
        <f t="shared" si="13"/>
        <v/>
      </c>
      <c r="D89" s="19" t="str">
        <f t="shared" si="14"/>
        <v/>
      </c>
      <c r="E89" s="19" t="str">
        <f t="shared" si="15"/>
        <v/>
      </c>
      <c r="F89" s="19" t="str">
        <f t="shared" si="16"/>
        <v/>
      </c>
      <c r="G89" s="22" t="str">
        <f t="shared" si="17"/>
        <v/>
      </c>
      <c r="H89" s="23" t="str">
        <f t="shared" si="18"/>
        <v/>
      </c>
      <c r="I89" s="24" t="str">
        <f t="shared" si="19"/>
        <v/>
      </c>
      <c r="J89" s="24"/>
      <c r="K89" s="25" t="str">
        <f t="shared" si="11"/>
        <v/>
      </c>
      <c r="L89" s="25" t="str">
        <f t="shared" si="12"/>
        <v/>
      </c>
    </row>
    <row r="90" spans="2:12" x14ac:dyDescent="0.3">
      <c r="B90" s="26">
        <v>78</v>
      </c>
      <c r="C90" s="27" t="str">
        <f t="shared" si="13"/>
        <v/>
      </c>
      <c r="D90" s="27" t="str">
        <f t="shared" si="14"/>
        <v/>
      </c>
      <c r="E90" s="27" t="str">
        <f t="shared" si="15"/>
        <v/>
      </c>
      <c r="F90" s="27" t="str">
        <f t="shared" si="16"/>
        <v/>
      </c>
      <c r="G90" s="22" t="str">
        <f t="shared" si="17"/>
        <v/>
      </c>
      <c r="H90" s="23" t="str">
        <f t="shared" si="18"/>
        <v/>
      </c>
      <c r="I90" s="24" t="str">
        <f t="shared" si="19"/>
        <v/>
      </c>
      <c r="J90" s="24"/>
      <c r="K90" s="25" t="str">
        <f t="shared" si="11"/>
        <v/>
      </c>
      <c r="L90" s="25" t="str">
        <f t="shared" si="12"/>
        <v/>
      </c>
    </row>
    <row r="91" spans="2:12" x14ac:dyDescent="0.3">
      <c r="B91" s="17">
        <v>79</v>
      </c>
      <c r="C91" s="19" t="str">
        <f t="shared" si="13"/>
        <v/>
      </c>
      <c r="D91" s="19" t="str">
        <f t="shared" si="14"/>
        <v/>
      </c>
      <c r="E91" s="19" t="str">
        <f t="shared" si="15"/>
        <v/>
      </c>
      <c r="F91" s="19" t="str">
        <f t="shared" si="16"/>
        <v/>
      </c>
      <c r="G91" s="22" t="str">
        <f t="shared" si="17"/>
        <v/>
      </c>
      <c r="H91" s="23" t="str">
        <f t="shared" si="18"/>
        <v/>
      </c>
      <c r="I91" s="24" t="str">
        <f t="shared" si="19"/>
        <v/>
      </c>
      <c r="J91" s="24"/>
      <c r="K91" s="25" t="str">
        <f t="shared" si="11"/>
        <v/>
      </c>
      <c r="L91" s="25" t="str">
        <f t="shared" si="12"/>
        <v/>
      </c>
    </row>
    <row r="92" spans="2:12" x14ac:dyDescent="0.3">
      <c r="B92" s="26">
        <v>80</v>
      </c>
      <c r="C92" s="27" t="str">
        <f t="shared" si="13"/>
        <v/>
      </c>
      <c r="D92" s="27" t="str">
        <f t="shared" si="14"/>
        <v/>
      </c>
      <c r="E92" s="27" t="str">
        <f t="shared" si="15"/>
        <v/>
      </c>
      <c r="F92" s="27" t="str">
        <f t="shared" si="16"/>
        <v/>
      </c>
      <c r="G92" s="22" t="str">
        <f t="shared" si="17"/>
        <v/>
      </c>
      <c r="H92" s="23" t="str">
        <f t="shared" si="18"/>
        <v/>
      </c>
      <c r="I92" s="24" t="str">
        <f t="shared" si="19"/>
        <v/>
      </c>
      <c r="J92" s="24"/>
      <c r="K92" s="25" t="str">
        <f t="shared" si="11"/>
        <v/>
      </c>
      <c r="L92" s="25" t="str">
        <f t="shared" si="12"/>
        <v/>
      </c>
    </row>
    <row r="93" spans="2:12" x14ac:dyDescent="0.3">
      <c r="B93" s="17">
        <v>81</v>
      </c>
      <c r="C93" s="19" t="str">
        <f t="shared" si="13"/>
        <v/>
      </c>
      <c r="D93" s="19" t="str">
        <f t="shared" si="14"/>
        <v/>
      </c>
      <c r="E93" s="19" t="str">
        <f t="shared" si="15"/>
        <v/>
      </c>
      <c r="F93" s="19" t="str">
        <f t="shared" si="16"/>
        <v/>
      </c>
      <c r="G93" s="22" t="str">
        <f t="shared" si="17"/>
        <v/>
      </c>
      <c r="H93" s="23" t="str">
        <f t="shared" si="18"/>
        <v/>
      </c>
      <c r="I93" s="24" t="str">
        <f t="shared" si="19"/>
        <v/>
      </c>
      <c r="J93" s="24"/>
      <c r="K93" s="25" t="str">
        <f t="shared" si="11"/>
        <v/>
      </c>
      <c r="L93" s="25" t="str">
        <f t="shared" si="12"/>
        <v/>
      </c>
    </row>
    <row r="94" spans="2:12" x14ac:dyDescent="0.3">
      <c r="B94" s="26">
        <v>82</v>
      </c>
      <c r="C94" s="27" t="str">
        <f t="shared" si="13"/>
        <v/>
      </c>
      <c r="D94" s="27" t="str">
        <f t="shared" si="14"/>
        <v/>
      </c>
      <c r="E94" s="27" t="str">
        <f t="shared" si="15"/>
        <v/>
      </c>
      <c r="F94" s="27" t="str">
        <f t="shared" si="16"/>
        <v/>
      </c>
      <c r="G94" s="22" t="str">
        <f t="shared" si="17"/>
        <v/>
      </c>
      <c r="H94" s="23" t="str">
        <f t="shared" si="18"/>
        <v/>
      </c>
      <c r="I94" s="24" t="str">
        <f t="shared" si="19"/>
        <v/>
      </c>
      <c r="J94" s="24"/>
      <c r="K94" s="25" t="str">
        <f t="shared" si="11"/>
        <v/>
      </c>
      <c r="L94" s="25" t="str">
        <f t="shared" si="12"/>
        <v/>
      </c>
    </row>
    <row r="95" spans="2:12" x14ac:dyDescent="0.3">
      <c r="B95" s="17">
        <v>83</v>
      </c>
      <c r="C95" s="19" t="str">
        <f t="shared" si="13"/>
        <v/>
      </c>
      <c r="D95" s="19" t="str">
        <f t="shared" si="14"/>
        <v/>
      </c>
      <c r="E95" s="19" t="str">
        <f t="shared" si="15"/>
        <v/>
      </c>
      <c r="F95" s="19" t="str">
        <f t="shared" si="16"/>
        <v/>
      </c>
      <c r="G95" s="22" t="str">
        <f t="shared" si="17"/>
        <v/>
      </c>
      <c r="H95" s="23" t="str">
        <f t="shared" si="18"/>
        <v/>
      </c>
      <c r="I95" s="24" t="str">
        <f t="shared" si="19"/>
        <v/>
      </c>
      <c r="J95" s="24"/>
      <c r="K95" s="25" t="str">
        <f t="shared" si="11"/>
        <v/>
      </c>
      <c r="L95" s="25" t="str">
        <f t="shared" si="12"/>
        <v/>
      </c>
    </row>
    <row r="96" spans="2:12" x14ac:dyDescent="0.3">
      <c r="B96" s="26">
        <v>84</v>
      </c>
      <c r="C96" s="27" t="str">
        <f t="shared" si="13"/>
        <v/>
      </c>
      <c r="D96" s="27" t="str">
        <f t="shared" si="14"/>
        <v/>
      </c>
      <c r="E96" s="27" t="str">
        <f t="shared" si="15"/>
        <v/>
      </c>
      <c r="F96" s="27" t="str">
        <f t="shared" si="16"/>
        <v/>
      </c>
      <c r="G96" s="22" t="str">
        <f t="shared" si="17"/>
        <v/>
      </c>
      <c r="H96" s="23" t="str">
        <f t="shared" si="18"/>
        <v/>
      </c>
      <c r="I96" s="24" t="str">
        <f t="shared" si="19"/>
        <v/>
      </c>
      <c r="J96" s="24"/>
      <c r="K96" s="25" t="str">
        <f t="shared" si="11"/>
        <v/>
      </c>
      <c r="L96" s="25" t="str">
        <f t="shared" si="12"/>
        <v/>
      </c>
    </row>
    <row r="97" spans="2:12" x14ac:dyDescent="0.3">
      <c r="B97" s="17">
        <v>85</v>
      </c>
      <c r="C97" s="19" t="str">
        <f t="shared" si="13"/>
        <v/>
      </c>
      <c r="D97" s="19" t="str">
        <f t="shared" si="14"/>
        <v/>
      </c>
      <c r="E97" s="19" t="str">
        <f t="shared" si="15"/>
        <v/>
      </c>
      <c r="F97" s="19" t="str">
        <f t="shared" si="16"/>
        <v/>
      </c>
      <c r="G97" s="22" t="str">
        <f t="shared" si="17"/>
        <v/>
      </c>
      <c r="H97" s="23" t="str">
        <f t="shared" si="18"/>
        <v/>
      </c>
      <c r="I97" s="24" t="str">
        <f t="shared" si="19"/>
        <v/>
      </c>
      <c r="J97" s="24"/>
      <c r="K97" s="25" t="str">
        <f t="shared" si="11"/>
        <v/>
      </c>
      <c r="L97" s="25" t="str">
        <f t="shared" si="12"/>
        <v/>
      </c>
    </row>
    <row r="98" spans="2:12" x14ac:dyDescent="0.3">
      <c r="B98" s="26">
        <v>86</v>
      </c>
      <c r="C98" s="27" t="str">
        <f t="shared" si="13"/>
        <v/>
      </c>
      <c r="D98" s="27" t="str">
        <f t="shared" si="14"/>
        <v/>
      </c>
      <c r="E98" s="27" t="str">
        <f t="shared" si="15"/>
        <v/>
      </c>
      <c r="F98" s="27" t="str">
        <f t="shared" si="16"/>
        <v/>
      </c>
      <c r="G98" s="22" t="str">
        <f t="shared" si="17"/>
        <v/>
      </c>
      <c r="H98" s="23" t="str">
        <f t="shared" si="18"/>
        <v/>
      </c>
      <c r="I98" s="24" t="str">
        <f t="shared" si="19"/>
        <v/>
      </c>
      <c r="J98" s="24"/>
      <c r="K98" s="25" t="str">
        <f t="shared" si="11"/>
        <v/>
      </c>
      <c r="L98" s="25" t="str">
        <f t="shared" si="12"/>
        <v/>
      </c>
    </row>
    <row r="99" spans="2:12" x14ac:dyDescent="0.3">
      <c r="B99" s="17">
        <v>87</v>
      </c>
      <c r="C99" s="19" t="str">
        <f t="shared" si="13"/>
        <v/>
      </c>
      <c r="D99" s="19" t="str">
        <f t="shared" si="14"/>
        <v/>
      </c>
      <c r="E99" s="19" t="str">
        <f t="shared" si="15"/>
        <v/>
      </c>
      <c r="F99" s="19" t="str">
        <f t="shared" si="16"/>
        <v/>
      </c>
      <c r="G99" s="22" t="str">
        <f t="shared" si="17"/>
        <v/>
      </c>
      <c r="H99" s="23" t="str">
        <f t="shared" si="18"/>
        <v/>
      </c>
      <c r="I99" s="24" t="str">
        <f t="shared" si="19"/>
        <v/>
      </c>
      <c r="J99" s="24"/>
      <c r="K99" s="25" t="str">
        <f t="shared" si="11"/>
        <v/>
      </c>
      <c r="L99" s="25" t="str">
        <f t="shared" si="12"/>
        <v/>
      </c>
    </row>
    <row r="100" spans="2:12" x14ac:dyDescent="0.3">
      <c r="B100" s="26">
        <v>88</v>
      </c>
      <c r="C100" s="27" t="str">
        <f t="shared" si="13"/>
        <v/>
      </c>
      <c r="D100" s="27" t="str">
        <f t="shared" si="14"/>
        <v/>
      </c>
      <c r="E100" s="27" t="str">
        <f t="shared" si="15"/>
        <v/>
      </c>
      <c r="F100" s="27" t="str">
        <f t="shared" si="16"/>
        <v/>
      </c>
      <c r="G100" s="22" t="str">
        <f t="shared" si="17"/>
        <v/>
      </c>
      <c r="H100" s="23" t="str">
        <f t="shared" si="18"/>
        <v/>
      </c>
      <c r="I100" s="24" t="str">
        <f t="shared" si="19"/>
        <v/>
      </c>
      <c r="J100" s="24"/>
      <c r="K100" s="25" t="str">
        <f t="shared" si="11"/>
        <v/>
      </c>
      <c r="L100" s="25" t="str">
        <f t="shared" si="12"/>
        <v/>
      </c>
    </row>
    <row r="101" spans="2:12" x14ac:dyDescent="0.3">
      <c r="B101" s="17">
        <v>89</v>
      </c>
      <c r="C101" s="19" t="str">
        <f t="shared" si="13"/>
        <v/>
      </c>
      <c r="D101" s="19" t="str">
        <f t="shared" si="14"/>
        <v/>
      </c>
      <c r="E101" s="19" t="str">
        <f t="shared" si="15"/>
        <v/>
      </c>
      <c r="F101" s="19" t="str">
        <f t="shared" si="16"/>
        <v/>
      </c>
      <c r="G101" s="22" t="str">
        <f t="shared" si="17"/>
        <v/>
      </c>
      <c r="H101" s="23" t="str">
        <f t="shared" si="18"/>
        <v/>
      </c>
      <c r="I101" s="24" t="str">
        <f t="shared" si="19"/>
        <v/>
      </c>
      <c r="J101" s="24"/>
      <c r="K101" s="25" t="str">
        <f t="shared" si="11"/>
        <v/>
      </c>
      <c r="L101" s="25" t="str">
        <f t="shared" si="12"/>
        <v/>
      </c>
    </row>
    <row r="102" spans="2:12" x14ac:dyDescent="0.3">
      <c r="B102" s="26">
        <v>90</v>
      </c>
      <c r="C102" s="27" t="str">
        <f t="shared" si="13"/>
        <v/>
      </c>
      <c r="D102" s="27" t="str">
        <f t="shared" si="14"/>
        <v/>
      </c>
      <c r="E102" s="27" t="str">
        <f t="shared" si="15"/>
        <v/>
      </c>
      <c r="F102" s="27" t="str">
        <f t="shared" si="16"/>
        <v/>
      </c>
      <c r="G102" s="22" t="str">
        <f t="shared" si="17"/>
        <v/>
      </c>
      <c r="H102" s="23" t="str">
        <f t="shared" si="18"/>
        <v/>
      </c>
      <c r="I102" s="24" t="str">
        <f t="shared" si="19"/>
        <v/>
      </c>
      <c r="J102" s="24"/>
      <c r="K102" s="25" t="str">
        <f t="shared" si="11"/>
        <v/>
      </c>
      <c r="L102" s="25" t="str">
        <f t="shared" si="12"/>
        <v/>
      </c>
    </row>
    <row r="103" spans="2:12" x14ac:dyDescent="0.3">
      <c r="B103" s="17">
        <v>91</v>
      </c>
      <c r="C103" s="19" t="str">
        <f t="shared" si="13"/>
        <v/>
      </c>
      <c r="D103" s="19" t="str">
        <f t="shared" si="14"/>
        <v/>
      </c>
      <c r="E103" s="19" t="str">
        <f t="shared" si="15"/>
        <v/>
      </c>
      <c r="F103" s="19" t="str">
        <f t="shared" si="16"/>
        <v/>
      </c>
      <c r="G103" s="22" t="str">
        <f t="shared" si="17"/>
        <v/>
      </c>
      <c r="H103" s="23" t="str">
        <f t="shared" si="18"/>
        <v/>
      </c>
      <c r="I103" s="24" t="str">
        <f t="shared" si="19"/>
        <v/>
      </c>
      <c r="J103" s="24"/>
      <c r="K103" s="25" t="str">
        <f t="shared" si="11"/>
        <v/>
      </c>
      <c r="L103" s="25" t="str">
        <f t="shared" si="12"/>
        <v/>
      </c>
    </row>
    <row r="104" spans="2:12" x14ac:dyDescent="0.3">
      <c r="B104" s="26">
        <v>92</v>
      </c>
      <c r="C104" s="27" t="str">
        <f t="shared" si="13"/>
        <v/>
      </c>
      <c r="D104" s="27" t="str">
        <f t="shared" si="14"/>
        <v/>
      </c>
      <c r="E104" s="27" t="str">
        <f t="shared" si="15"/>
        <v/>
      </c>
      <c r="F104" s="27" t="str">
        <f t="shared" si="16"/>
        <v/>
      </c>
      <c r="G104" s="22" t="str">
        <f t="shared" si="17"/>
        <v/>
      </c>
      <c r="H104" s="23" t="str">
        <f t="shared" si="18"/>
        <v/>
      </c>
      <c r="I104" s="24" t="str">
        <f t="shared" si="19"/>
        <v/>
      </c>
      <c r="J104" s="24"/>
      <c r="K104" s="25" t="str">
        <f t="shared" si="11"/>
        <v/>
      </c>
      <c r="L104" s="25" t="str">
        <f t="shared" si="12"/>
        <v/>
      </c>
    </row>
    <row r="105" spans="2:12" x14ac:dyDescent="0.3">
      <c r="B105" s="17">
        <v>93</v>
      </c>
      <c r="C105" s="19" t="str">
        <f t="shared" si="13"/>
        <v/>
      </c>
      <c r="D105" s="19" t="str">
        <f t="shared" si="14"/>
        <v/>
      </c>
      <c r="E105" s="19" t="str">
        <f t="shared" si="15"/>
        <v/>
      </c>
      <c r="F105" s="19" t="str">
        <f t="shared" si="16"/>
        <v/>
      </c>
      <c r="G105" s="22" t="str">
        <f t="shared" si="17"/>
        <v/>
      </c>
      <c r="H105" s="23" t="str">
        <f t="shared" si="18"/>
        <v/>
      </c>
      <c r="I105" s="24" t="str">
        <f t="shared" si="19"/>
        <v/>
      </c>
      <c r="J105" s="24"/>
      <c r="K105" s="25" t="str">
        <f t="shared" si="11"/>
        <v/>
      </c>
      <c r="L105" s="25" t="str">
        <f t="shared" si="12"/>
        <v/>
      </c>
    </row>
    <row r="106" spans="2:12" x14ac:dyDescent="0.3">
      <c r="B106" s="26">
        <v>94</v>
      </c>
      <c r="C106" s="27" t="str">
        <f t="shared" si="13"/>
        <v/>
      </c>
      <c r="D106" s="27" t="str">
        <f t="shared" si="14"/>
        <v/>
      </c>
      <c r="E106" s="27" t="str">
        <f t="shared" si="15"/>
        <v/>
      </c>
      <c r="F106" s="27" t="str">
        <f t="shared" si="16"/>
        <v/>
      </c>
      <c r="G106" s="22" t="str">
        <f t="shared" si="17"/>
        <v/>
      </c>
      <c r="H106" s="23" t="str">
        <f t="shared" si="18"/>
        <v/>
      </c>
      <c r="I106" s="24" t="str">
        <f t="shared" si="19"/>
        <v/>
      </c>
      <c r="J106" s="24"/>
      <c r="K106" s="25" t="str">
        <f t="shared" si="11"/>
        <v/>
      </c>
      <c r="L106" s="25" t="str">
        <f t="shared" si="12"/>
        <v/>
      </c>
    </row>
    <row r="107" spans="2:12" x14ac:dyDescent="0.3">
      <c r="B107" s="17">
        <v>95</v>
      </c>
      <c r="C107" s="19" t="str">
        <f t="shared" si="13"/>
        <v/>
      </c>
      <c r="D107" s="19" t="str">
        <f t="shared" si="14"/>
        <v/>
      </c>
      <c r="E107" s="19" t="str">
        <f t="shared" si="15"/>
        <v/>
      </c>
      <c r="F107" s="19" t="str">
        <f t="shared" si="16"/>
        <v/>
      </c>
      <c r="G107" s="22" t="str">
        <f t="shared" si="17"/>
        <v/>
      </c>
      <c r="H107" s="23" t="str">
        <f t="shared" si="18"/>
        <v/>
      </c>
      <c r="I107" s="24" t="str">
        <f t="shared" si="19"/>
        <v/>
      </c>
      <c r="J107" s="24"/>
      <c r="K107" s="25" t="str">
        <f t="shared" si="11"/>
        <v/>
      </c>
      <c r="L107" s="25" t="str">
        <f t="shared" si="12"/>
        <v/>
      </c>
    </row>
    <row r="108" spans="2:12" x14ac:dyDescent="0.3">
      <c r="B108" s="26">
        <v>96</v>
      </c>
      <c r="C108" s="27" t="str">
        <f t="shared" si="13"/>
        <v/>
      </c>
      <c r="D108" s="27" t="str">
        <f t="shared" si="14"/>
        <v/>
      </c>
      <c r="E108" s="27" t="str">
        <f t="shared" si="15"/>
        <v/>
      </c>
      <c r="F108" s="27" t="str">
        <f t="shared" si="16"/>
        <v/>
      </c>
      <c r="G108" s="22" t="str">
        <f t="shared" si="17"/>
        <v/>
      </c>
      <c r="H108" s="23" t="str">
        <f t="shared" si="18"/>
        <v/>
      </c>
      <c r="I108" s="24" t="str">
        <f t="shared" si="19"/>
        <v/>
      </c>
      <c r="J108" s="24"/>
      <c r="K108" s="25" t="str">
        <f t="shared" si="11"/>
        <v/>
      </c>
      <c r="L108" s="25" t="str">
        <f t="shared" si="12"/>
        <v/>
      </c>
    </row>
    <row r="109" spans="2:12" x14ac:dyDescent="0.3">
      <c r="B109" s="17">
        <v>97</v>
      </c>
      <c r="C109" s="19" t="str">
        <f t="shared" si="13"/>
        <v/>
      </c>
      <c r="D109" s="19" t="str">
        <f t="shared" si="14"/>
        <v/>
      </c>
      <c r="E109" s="19" t="str">
        <f t="shared" si="15"/>
        <v/>
      </c>
      <c r="F109" s="19" t="str">
        <f t="shared" si="16"/>
        <v/>
      </c>
      <c r="G109" s="22" t="str">
        <f t="shared" si="17"/>
        <v/>
      </c>
      <c r="H109" s="23" t="str">
        <f t="shared" si="18"/>
        <v/>
      </c>
      <c r="I109" s="24" t="str">
        <f t="shared" si="19"/>
        <v/>
      </c>
      <c r="J109" s="24"/>
      <c r="K109" s="25" t="str">
        <f t="shared" si="11"/>
        <v/>
      </c>
      <c r="L109" s="25" t="str">
        <f t="shared" si="12"/>
        <v/>
      </c>
    </row>
    <row r="110" spans="2:12" x14ac:dyDescent="0.3">
      <c r="B110" s="26">
        <v>98</v>
      </c>
      <c r="C110" s="27" t="str">
        <f t="shared" si="13"/>
        <v/>
      </c>
      <c r="D110" s="27" t="str">
        <f t="shared" si="14"/>
        <v/>
      </c>
      <c r="E110" s="27" t="str">
        <f t="shared" si="15"/>
        <v/>
      </c>
      <c r="F110" s="27" t="str">
        <f t="shared" si="16"/>
        <v/>
      </c>
      <c r="G110" s="22" t="str">
        <f t="shared" si="17"/>
        <v/>
      </c>
      <c r="H110" s="23" t="str">
        <f t="shared" si="18"/>
        <v/>
      </c>
      <c r="I110" s="24" t="str">
        <f t="shared" si="19"/>
        <v/>
      </c>
      <c r="J110" s="24"/>
      <c r="K110" s="25" t="str">
        <f t="shared" si="11"/>
        <v/>
      </c>
      <c r="L110" s="25" t="str">
        <f t="shared" si="12"/>
        <v/>
      </c>
    </row>
    <row r="111" spans="2:12" x14ac:dyDescent="0.3">
      <c r="B111" s="17">
        <v>99</v>
      </c>
      <c r="C111" s="19" t="str">
        <f t="shared" si="13"/>
        <v/>
      </c>
      <c r="D111" s="19" t="str">
        <f t="shared" si="14"/>
        <v/>
      </c>
      <c r="E111" s="19" t="str">
        <f t="shared" si="15"/>
        <v/>
      </c>
      <c r="F111" s="19" t="str">
        <f t="shared" si="16"/>
        <v/>
      </c>
      <c r="G111" s="22" t="str">
        <f t="shared" si="17"/>
        <v/>
      </c>
      <c r="H111" s="23" t="str">
        <f t="shared" si="18"/>
        <v/>
      </c>
      <c r="I111" s="24" t="str">
        <f t="shared" si="19"/>
        <v/>
      </c>
      <c r="J111" s="24"/>
      <c r="K111" s="25" t="str">
        <f t="shared" si="11"/>
        <v/>
      </c>
      <c r="L111" s="25" t="str">
        <f t="shared" si="12"/>
        <v/>
      </c>
    </row>
    <row r="112" spans="2:12" x14ac:dyDescent="0.3">
      <c r="B112" s="26">
        <v>100</v>
      </c>
      <c r="C112" s="27" t="str">
        <f t="shared" si="13"/>
        <v/>
      </c>
      <c r="D112" s="27" t="str">
        <f t="shared" si="14"/>
        <v/>
      </c>
      <c r="E112" s="27" t="str">
        <f t="shared" si="15"/>
        <v/>
      </c>
      <c r="F112" s="27" t="str">
        <f t="shared" si="16"/>
        <v/>
      </c>
      <c r="G112" s="22" t="str">
        <f t="shared" si="17"/>
        <v/>
      </c>
      <c r="H112" s="23" t="str">
        <f t="shared" si="18"/>
        <v/>
      </c>
      <c r="I112" s="24" t="str">
        <f t="shared" si="19"/>
        <v/>
      </c>
      <c r="J112" s="24"/>
      <c r="K112" s="25" t="str">
        <f t="shared" si="11"/>
        <v/>
      </c>
      <c r="L112" s="25" t="str">
        <f t="shared" si="12"/>
        <v/>
      </c>
    </row>
    <row r="113" spans="2:12" x14ac:dyDescent="0.3">
      <c r="B113" s="17">
        <v>101</v>
      </c>
      <c r="C113" s="19" t="str">
        <f t="shared" si="13"/>
        <v/>
      </c>
      <c r="D113" s="19" t="str">
        <f t="shared" si="14"/>
        <v/>
      </c>
      <c r="E113" s="19" t="str">
        <f t="shared" si="15"/>
        <v/>
      </c>
      <c r="F113" s="19" t="str">
        <f t="shared" si="16"/>
        <v/>
      </c>
      <c r="G113" s="22" t="str">
        <f t="shared" si="17"/>
        <v/>
      </c>
      <c r="H113" s="23" t="str">
        <f t="shared" si="18"/>
        <v/>
      </c>
      <c r="I113" s="24" t="str">
        <f t="shared" si="19"/>
        <v/>
      </c>
      <c r="J113" s="24"/>
      <c r="K113" s="25" t="str">
        <f t="shared" si="11"/>
        <v/>
      </c>
      <c r="L113" s="25" t="str">
        <f t="shared" si="12"/>
        <v/>
      </c>
    </row>
    <row r="114" spans="2:12" x14ac:dyDescent="0.3">
      <c r="B114" s="26">
        <v>102</v>
      </c>
      <c r="C114" s="27" t="str">
        <f t="shared" si="13"/>
        <v/>
      </c>
      <c r="D114" s="27" t="str">
        <f t="shared" si="14"/>
        <v/>
      </c>
      <c r="E114" s="27" t="str">
        <f t="shared" si="15"/>
        <v/>
      </c>
      <c r="F114" s="27" t="str">
        <f t="shared" si="16"/>
        <v/>
      </c>
      <c r="G114" s="22" t="str">
        <f t="shared" si="17"/>
        <v/>
      </c>
      <c r="H114" s="23" t="str">
        <f t="shared" si="18"/>
        <v/>
      </c>
      <c r="I114" s="24" t="str">
        <f t="shared" si="19"/>
        <v/>
      </c>
      <c r="J114" s="24"/>
      <c r="K114" s="25" t="str">
        <f t="shared" si="11"/>
        <v/>
      </c>
      <c r="L114" s="25" t="str">
        <f t="shared" si="12"/>
        <v/>
      </c>
    </row>
    <row r="115" spans="2:12" x14ac:dyDescent="0.3">
      <c r="B115" s="17">
        <v>103</v>
      </c>
      <c r="C115" s="19" t="str">
        <f t="shared" si="13"/>
        <v/>
      </c>
      <c r="D115" s="19" t="str">
        <f t="shared" si="14"/>
        <v/>
      </c>
      <c r="E115" s="19" t="str">
        <f t="shared" si="15"/>
        <v/>
      </c>
      <c r="F115" s="19" t="str">
        <f t="shared" si="16"/>
        <v/>
      </c>
      <c r="G115" s="22" t="str">
        <f t="shared" si="17"/>
        <v/>
      </c>
      <c r="H115" s="23" t="str">
        <f t="shared" si="18"/>
        <v/>
      </c>
      <c r="I115" s="24" t="str">
        <f t="shared" si="19"/>
        <v/>
      </c>
      <c r="J115" s="24"/>
      <c r="K115" s="25" t="str">
        <f t="shared" si="11"/>
        <v/>
      </c>
      <c r="L115" s="25" t="str">
        <f t="shared" si="12"/>
        <v/>
      </c>
    </row>
    <row r="116" spans="2:12" x14ac:dyDescent="0.3">
      <c r="B116" s="26">
        <v>104</v>
      </c>
      <c r="C116" s="27" t="str">
        <f t="shared" si="13"/>
        <v/>
      </c>
      <c r="D116" s="27" t="str">
        <f t="shared" si="14"/>
        <v/>
      </c>
      <c r="E116" s="27" t="str">
        <f t="shared" si="15"/>
        <v/>
      </c>
      <c r="F116" s="27" t="str">
        <f t="shared" si="16"/>
        <v/>
      </c>
      <c r="G116" s="22" t="str">
        <f t="shared" si="17"/>
        <v/>
      </c>
      <c r="H116" s="23" t="str">
        <f t="shared" si="18"/>
        <v/>
      </c>
      <c r="I116" s="24" t="str">
        <f t="shared" si="19"/>
        <v/>
      </c>
      <c r="J116" s="24"/>
      <c r="K116" s="25" t="str">
        <f t="shared" si="11"/>
        <v/>
      </c>
      <c r="L116" s="25" t="str">
        <f t="shared" si="12"/>
        <v/>
      </c>
    </row>
    <row r="117" spans="2:12" x14ac:dyDescent="0.3">
      <c r="B117" s="17">
        <v>105</v>
      </c>
      <c r="C117" s="19" t="str">
        <f t="shared" si="13"/>
        <v/>
      </c>
      <c r="D117" s="19" t="str">
        <f t="shared" si="14"/>
        <v/>
      </c>
      <c r="E117" s="19" t="str">
        <f t="shared" si="15"/>
        <v/>
      </c>
      <c r="F117" s="19" t="str">
        <f t="shared" si="16"/>
        <v/>
      </c>
      <c r="G117" s="22" t="str">
        <f t="shared" si="17"/>
        <v/>
      </c>
      <c r="H117" s="23" t="str">
        <f t="shared" si="18"/>
        <v/>
      </c>
      <c r="I117" s="24" t="str">
        <f t="shared" si="19"/>
        <v/>
      </c>
      <c r="J117" s="24"/>
      <c r="K117" s="25" t="str">
        <f t="shared" si="11"/>
        <v/>
      </c>
      <c r="L117" s="25" t="str">
        <f t="shared" si="12"/>
        <v/>
      </c>
    </row>
    <row r="118" spans="2:12" x14ac:dyDescent="0.3">
      <c r="B118" s="26">
        <v>106</v>
      </c>
      <c r="C118" s="27" t="str">
        <f t="shared" si="13"/>
        <v/>
      </c>
      <c r="D118" s="27" t="str">
        <f t="shared" si="14"/>
        <v/>
      </c>
      <c r="E118" s="27" t="str">
        <f t="shared" si="15"/>
        <v/>
      </c>
      <c r="F118" s="27" t="str">
        <f t="shared" si="16"/>
        <v/>
      </c>
      <c r="G118" s="22" t="str">
        <f t="shared" si="17"/>
        <v/>
      </c>
      <c r="H118" s="23" t="str">
        <f t="shared" si="18"/>
        <v/>
      </c>
      <c r="I118" s="24" t="str">
        <f t="shared" si="19"/>
        <v/>
      </c>
      <c r="J118" s="24"/>
      <c r="K118" s="25" t="str">
        <f t="shared" si="11"/>
        <v/>
      </c>
      <c r="L118" s="25" t="str">
        <f t="shared" si="12"/>
        <v/>
      </c>
    </row>
    <row r="119" spans="2:12" x14ac:dyDescent="0.3">
      <c r="B119" s="17">
        <v>107</v>
      </c>
      <c r="C119" s="19" t="str">
        <f t="shared" si="13"/>
        <v/>
      </c>
      <c r="D119" s="19" t="str">
        <f t="shared" si="14"/>
        <v/>
      </c>
      <c r="E119" s="19" t="str">
        <f t="shared" si="15"/>
        <v/>
      </c>
      <c r="F119" s="19" t="str">
        <f t="shared" si="16"/>
        <v/>
      </c>
      <c r="G119" s="22" t="str">
        <f t="shared" si="17"/>
        <v/>
      </c>
      <c r="H119" s="23" t="str">
        <f t="shared" si="18"/>
        <v/>
      </c>
      <c r="I119" s="24" t="str">
        <f t="shared" si="19"/>
        <v/>
      </c>
      <c r="J119" s="24"/>
      <c r="K119" s="25" t="str">
        <f t="shared" si="11"/>
        <v/>
      </c>
      <c r="L119" s="25" t="str">
        <f t="shared" si="12"/>
        <v/>
      </c>
    </row>
    <row r="120" spans="2:12" x14ac:dyDescent="0.3">
      <c r="B120" s="26">
        <v>108</v>
      </c>
      <c r="C120" s="27" t="str">
        <f t="shared" si="13"/>
        <v/>
      </c>
      <c r="D120" s="27" t="str">
        <f t="shared" si="14"/>
        <v/>
      </c>
      <c r="E120" s="27" t="str">
        <f t="shared" si="15"/>
        <v/>
      </c>
      <c r="F120" s="27" t="str">
        <f t="shared" si="16"/>
        <v/>
      </c>
      <c r="G120" s="22" t="str">
        <f t="shared" si="17"/>
        <v/>
      </c>
      <c r="H120" s="23" t="str">
        <f t="shared" si="18"/>
        <v/>
      </c>
      <c r="I120" s="24" t="str">
        <f t="shared" si="19"/>
        <v/>
      </c>
      <c r="J120" s="24"/>
      <c r="K120" s="25" t="str">
        <f t="shared" si="11"/>
        <v/>
      </c>
      <c r="L120" s="25" t="str">
        <f t="shared" si="12"/>
        <v/>
      </c>
    </row>
    <row r="121" spans="2:12" x14ac:dyDescent="0.3">
      <c r="B121" s="17">
        <v>109</v>
      </c>
      <c r="C121" s="19" t="str">
        <f t="shared" si="13"/>
        <v/>
      </c>
      <c r="D121" s="19" t="str">
        <f t="shared" si="14"/>
        <v/>
      </c>
      <c r="E121" s="19" t="str">
        <f t="shared" si="15"/>
        <v/>
      </c>
      <c r="F121" s="19" t="str">
        <f t="shared" si="16"/>
        <v/>
      </c>
      <c r="G121" s="22" t="str">
        <f t="shared" si="17"/>
        <v/>
      </c>
      <c r="H121" s="23" t="str">
        <f t="shared" si="18"/>
        <v/>
      </c>
      <c r="I121" s="24" t="str">
        <f t="shared" si="19"/>
        <v/>
      </c>
      <c r="J121" s="24"/>
      <c r="K121" s="25" t="str">
        <f t="shared" si="11"/>
        <v/>
      </c>
      <c r="L121" s="25" t="str">
        <f t="shared" si="12"/>
        <v/>
      </c>
    </row>
    <row r="122" spans="2:12" x14ac:dyDescent="0.3">
      <c r="B122" s="26">
        <v>110</v>
      </c>
      <c r="C122" s="27" t="str">
        <f t="shared" si="13"/>
        <v/>
      </c>
      <c r="D122" s="27" t="str">
        <f t="shared" si="14"/>
        <v/>
      </c>
      <c r="E122" s="27" t="str">
        <f t="shared" si="15"/>
        <v/>
      </c>
      <c r="F122" s="27" t="str">
        <f t="shared" si="16"/>
        <v/>
      </c>
      <c r="G122" s="22" t="str">
        <f t="shared" si="17"/>
        <v/>
      </c>
      <c r="H122" s="23" t="str">
        <f t="shared" si="18"/>
        <v/>
      </c>
      <c r="I122" s="24" t="str">
        <f t="shared" si="19"/>
        <v/>
      </c>
      <c r="J122" s="24"/>
      <c r="K122" s="25" t="str">
        <f t="shared" si="11"/>
        <v/>
      </c>
      <c r="L122" s="25" t="str">
        <f t="shared" si="12"/>
        <v/>
      </c>
    </row>
    <row r="123" spans="2:12" x14ac:dyDescent="0.3">
      <c r="B123" s="17">
        <v>111</v>
      </c>
      <c r="C123" s="19" t="str">
        <f t="shared" si="13"/>
        <v/>
      </c>
      <c r="D123" s="19" t="str">
        <f t="shared" si="14"/>
        <v/>
      </c>
      <c r="E123" s="19" t="str">
        <f t="shared" si="15"/>
        <v/>
      </c>
      <c r="F123" s="19" t="str">
        <f t="shared" si="16"/>
        <v/>
      </c>
      <c r="G123" s="22" t="str">
        <f t="shared" si="17"/>
        <v/>
      </c>
      <c r="H123" s="23" t="str">
        <f t="shared" si="18"/>
        <v/>
      </c>
      <c r="I123" s="24" t="str">
        <f t="shared" si="19"/>
        <v/>
      </c>
      <c r="J123" s="24"/>
      <c r="K123" s="25" t="str">
        <f t="shared" si="11"/>
        <v/>
      </c>
      <c r="L123" s="25" t="str">
        <f t="shared" si="12"/>
        <v/>
      </c>
    </row>
    <row r="124" spans="2:12" x14ac:dyDescent="0.3">
      <c r="B124" s="26">
        <v>112</v>
      </c>
      <c r="C124" s="27" t="str">
        <f t="shared" si="13"/>
        <v/>
      </c>
      <c r="D124" s="27" t="str">
        <f t="shared" si="14"/>
        <v/>
      </c>
      <c r="E124" s="27" t="str">
        <f t="shared" si="15"/>
        <v/>
      </c>
      <c r="F124" s="27" t="str">
        <f t="shared" si="16"/>
        <v/>
      </c>
      <c r="G124" s="22" t="str">
        <f t="shared" si="17"/>
        <v/>
      </c>
      <c r="H124" s="23" t="str">
        <f t="shared" si="18"/>
        <v/>
      </c>
      <c r="I124" s="24" t="str">
        <f t="shared" si="19"/>
        <v/>
      </c>
      <c r="J124" s="24"/>
      <c r="K124" s="25" t="str">
        <f t="shared" si="11"/>
        <v/>
      </c>
      <c r="L124" s="25" t="str">
        <f t="shared" si="12"/>
        <v/>
      </c>
    </row>
    <row r="125" spans="2:12" x14ac:dyDescent="0.3">
      <c r="B125" s="17">
        <v>113</v>
      </c>
      <c r="C125" s="19" t="str">
        <f t="shared" si="13"/>
        <v/>
      </c>
      <c r="D125" s="19" t="str">
        <f t="shared" si="14"/>
        <v/>
      </c>
      <c r="E125" s="19" t="str">
        <f t="shared" si="15"/>
        <v/>
      </c>
      <c r="F125" s="19" t="str">
        <f t="shared" si="16"/>
        <v/>
      </c>
      <c r="G125" s="22" t="str">
        <f t="shared" si="17"/>
        <v/>
      </c>
      <c r="H125" s="23" t="str">
        <f t="shared" si="18"/>
        <v/>
      </c>
      <c r="I125" s="24" t="str">
        <f t="shared" si="19"/>
        <v/>
      </c>
      <c r="J125" s="24"/>
      <c r="K125" s="25" t="str">
        <f t="shared" si="11"/>
        <v/>
      </c>
      <c r="L125" s="25" t="str">
        <f t="shared" si="12"/>
        <v/>
      </c>
    </row>
    <row r="126" spans="2:12" x14ac:dyDescent="0.3">
      <c r="B126" s="26">
        <v>114</v>
      </c>
      <c r="C126" s="27" t="str">
        <f t="shared" si="13"/>
        <v/>
      </c>
      <c r="D126" s="27" t="str">
        <f t="shared" si="14"/>
        <v/>
      </c>
      <c r="E126" s="27" t="str">
        <f t="shared" si="15"/>
        <v/>
      </c>
      <c r="F126" s="27" t="str">
        <f t="shared" si="16"/>
        <v/>
      </c>
      <c r="G126" s="22" t="str">
        <f t="shared" si="17"/>
        <v/>
      </c>
      <c r="H126" s="23" t="str">
        <f t="shared" si="18"/>
        <v/>
      </c>
      <c r="I126" s="24" t="str">
        <f t="shared" si="19"/>
        <v/>
      </c>
      <c r="J126" s="24"/>
      <c r="K126" s="25" t="str">
        <f t="shared" si="11"/>
        <v/>
      </c>
      <c r="L126" s="25" t="str">
        <f t="shared" si="12"/>
        <v/>
      </c>
    </row>
    <row r="127" spans="2:12" x14ac:dyDescent="0.3">
      <c r="B127" s="17">
        <v>115</v>
      </c>
      <c r="C127" s="19" t="str">
        <f t="shared" si="13"/>
        <v/>
      </c>
      <c r="D127" s="19" t="str">
        <f t="shared" si="14"/>
        <v/>
      </c>
      <c r="E127" s="19" t="str">
        <f t="shared" si="15"/>
        <v/>
      </c>
      <c r="F127" s="19" t="str">
        <f t="shared" si="16"/>
        <v/>
      </c>
      <c r="G127" s="22" t="str">
        <f t="shared" si="17"/>
        <v/>
      </c>
      <c r="H127" s="23" t="str">
        <f t="shared" si="18"/>
        <v/>
      </c>
      <c r="I127" s="24" t="str">
        <f t="shared" si="19"/>
        <v/>
      </c>
      <c r="J127" s="24"/>
      <c r="K127" s="25" t="str">
        <f t="shared" si="11"/>
        <v/>
      </c>
      <c r="L127" s="25" t="str">
        <f t="shared" si="12"/>
        <v/>
      </c>
    </row>
    <row r="128" spans="2:12" x14ac:dyDescent="0.3">
      <c r="B128" s="26">
        <v>116</v>
      </c>
      <c r="C128" s="27" t="str">
        <f t="shared" si="13"/>
        <v/>
      </c>
      <c r="D128" s="27" t="str">
        <f t="shared" si="14"/>
        <v/>
      </c>
      <c r="E128" s="27" t="str">
        <f t="shared" si="15"/>
        <v/>
      </c>
      <c r="F128" s="27" t="str">
        <f t="shared" si="16"/>
        <v/>
      </c>
      <c r="G128" s="22" t="str">
        <f t="shared" si="17"/>
        <v/>
      </c>
      <c r="H128" s="23" t="str">
        <f t="shared" si="18"/>
        <v/>
      </c>
      <c r="I128" s="24" t="str">
        <f t="shared" si="19"/>
        <v/>
      </c>
      <c r="J128" s="24"/>
      <c r="K128" s="25" t="str">
        <f t="shared" si="11"/>
        <v/>
      </c>
      <c r="L128" s="25" t="str">
        <f t="shared" si="12"/>
        <v/>
      </c>
    </row>
    <row r="129" spans="2:12" x14ac:dyDescent="0.3">
      <c r="B129" s="17">
        <v>117</v>
      </c>
      <c r="C129" s="19" t="str">
        <f t="shared" si="13"/>
        <v/>
      </c>
      <c r="D129" s="19" t="str">
        <f t="shared" si="14"/>
        <v/>
      </c>
      <c r="E129" s="19" t="str">
        <f t="shared" si="15"/>
        <v/>
      </c>
      <c r="F129" s="19" t="str">
        <f t="shared" si="16"/>
        <v/>
      </c>
      <c r="G129" s="22" t="str">
        <f t="shared" si="17"/>
        <v/>
      </c>
      <c r="H129" s="23" t="str">
        <f t="shared" si="18"/>
        <v/>
      </c>
      <c r="I129" s="24" t="str">
        <f t="shared" si="19"/>
        <v/>
      </c>
      <c r="J129" s="24"/>
      <c r="K129" s="25" t="str">
        <f t="shared" si="11"/>
        <v/>
      </c>
      <c r="L129" s="25" t="str">
        <f t="shared" si="12"/>
        <v/>
      </c>
    </row>
    <row r="130" spans="2:12" x14ac:dyDescent="0.3">
      <c r="B130" s="26">
        <v>118</v>
      </c>
      <c r="C130" s="27" t="str">
        <f t="shared" si="13"/>
        <v/>
      </c>
      <c r="D130" s="27" t="str">
        <f t="shared" si="14"/>
        <v/>
      </c>
      <c r="E130" s="27" t="str">
        <f t="shared" si="15"/>
        <v/>
      </c>
      <c r="F130" s="27" t="str">
        <f t="shared" si="16"/>
        <v/>
      </c>
      <c r="G130" s="22" t="str">
        <f t="shared" si="17"/>
        <v/>
      </c>
      <c r="H130" s="23" t="str">
        <f t="shared" si="18"/>
        <v/>
      </c>
      <c r="I130" s="24" t="str">
        <f t="shared" si="19"/>
        <v/>
      </c>
      <c r="J130" s="24"/>
      <c r="K130" s="25" t="str">
        <f t="shared" si="11"/>
        <v/>
      </c>
      <c r="L130" s="25" t="str">
        <f t="shared" si="12"/>
        <v/>
      </c>
    </row>
    <row r="131" spans="2:12" x14ac:dyDescent="0.3">
      <c r="B131" s="17">
        <v>119</v>
      </c>
      <c r="C131" s="19" t="str">
        <f t="shared" si="13"/>
        <v/>
      </c>
      <c r="D131" s="19" t="str">
        <f t="shared" si="14"/>
        <v/>
      </c>
      <c r="E131" s="19" t="str">
        <f t="shared" si="15"/>
        <v/>
      </c>
      <c r="F131" s="19" t="str">
        <f t="shared" si="16"/>
        <v/>
      </c>
      <c r="G131" s="22" t="str">
        <f t="shared" si="17"/>
        <v/>
      </c>
      <c r="H131" s="23" t="str">
        <f t="shared" si="18"/>
        <v/>
      </c>
      <c r="I131" s="24" t="str">
        <f t="shared" si="19"/>
        <v/>
      </c>
      <c r="J131" s="24"/>
      <c r="K131" s="25" t="str">
        <f t="shared" si="11"/>
        <v/>
      </c>
      <c r="L131" s="25" t="str">
        <f t="shared" si="12"/>
        <v/>
      </c>
    </row>
    <row r="132" spans="2:12" x14ac:dyDescent="0.3">
      <c r="B132" s="26">
        <v>120</v>
      </c>
      <c r="C132" s="27" t="str">
        <f t="shared" si="13"/>
        <v/>
      </c>
      <c r="D132" s="27" t="str">
        <f t="shared" si="14"/>
        <v/>
      </c>
      <c r="E132" s="27" t="str">
        <f t="shared" si="15"/>
        <v/>
      </c>
      <c r="F132" s="27" t="str">
        <f t="shared" si="16"/>
        <v/>
      </c>
      <c r="G132" s="22" t="str">
        <f t="shared" si="17"/>
        <v/>
      </c>
      <c r="H132" s="23" t="str">
        <f t="shared" si="18"/>
        <v/>
      </c>
      <c r="I132" s="24" t="str">
        <f t="shared" si="19"/>
        <v/>
      </c>
      <c r="J132" s="24"/>
      <c r="K132" s="25" t="str">
        <f t="shared" si="11"/>
        <v/>
      </c>
      <c r="L132" s="25" t="str">
        <f t="shared" si="12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Simulador Emprestimo 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Mota</dc:creator>
  <cp:lastModifiedBy>Vinícius Mota</cp:lastModifiedBy>
  <dcterms:created xsi:type="dcterms:W3CDTF">2026-09-15T13:09:38Z</dcterms:created>
  <dcterms:modified xsi:type="dcterms:W3CDTF">2026-09-15T13:10:01Z</dcterms:modified>
</cp:coreProperties>
</file>